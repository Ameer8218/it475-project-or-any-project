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2\Desktop\Masoud Projects\DA\2026\5\"/>
    </mc:Choice>
  </mc:AlternateContent>
  <xr:revisionPtr revIDLastSave="0" documentId="13_ncr:1_{34574288-D99A-4166-9063-ACE53FC8E4C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Dashboard" sheetId="1" r:id="rId1"/>
    <sheet name="Student Data" sheetId="2" r:id="rId2"/>
    <sheet name="READM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1" i="2" l="1"/>
  <c r="F31" i="2"/>
  <c r="H31" i="2" s="1"/>
  <c r="J31" i="2" s="1"/>
  <c r="I30" i="2"/>
  <c r="H30" i="2"/>
  <c r="J30" i="2" s="1"/>
  <c r="F30" i="2"/>
  <c r="I29" i="2"/>
  <c r="F29" i="2"/>
  <c r="H29" i="2" s="1"/>
  <c r="J29" i="2" s="1"/>
  <c r="I28" i="2"/>
  <c r="F28" i="2"/>
  <c r="H28" i="2" s="1"/>
  <c r="J28" i="2" s="1"/>
  <c r="I27" i="2"/>
  <c r="F27" i="2"/>
  <c r="H27" i="2" s="1"/>
  <c r="J27" i="2" s="1"/>
  <c r="I26" i="2"/>
  <c r="F26" i="2"/>
  <c r="H26" i="2" s="1"/>
  <c r="J26" i="2" s="1"/>
  <c r="I25" i="2"/>
  <c r="F25" i="2"/>
  <c r="H25" i="2" s="1"/>
  <c r="J25" i="2" s="1"/>
  <c r="I24" i="2"/>
  <c r="F24" i="2"/>
  <c r="H24" i="2" s="1"/>
  <c r="J24" i="2" s="1"/>
  <c r="I23" i="2"/>
  <c r="F23" i="2"/>
  <c r="H23" i="2" s="1"/>
  <c r="J23" i="2" s="1"/>
  <c r="I22" i="2"/>
  <c r="F22" i="2"/>
  <c r="H22" i="2" s="1"/>
  <c r="J22" i="2" s="1"/>
  <c r="I21" i="2"/>
  <c r="F21" i="2"/>
  <c r="H21" i="2" s="1"/>
  <c r="J21" i="2" s="1"/>
  <c r="I20" i="2"/>
  <c r="F20" i="2"/>
  <c r="H20" i="2" s="1"/>
  <c r="J20" i="2" s="1"/>
  <c r="I19" i="2"/>
  <c r="F19" i="2"/>
  <c r="H19" i="2" s="1"/>
  <c r="J19" i="2" s="1"/>
  <c r="I18" i="2"/>
  <c r="F18" i="2"/>
  <c r="H18" i="2" s="1"/>
  <c r="J18" i="2" s="1"/>
  <c r="I17" i="2"/>
  <c r="F17" i="2"/>
  <c r="H17" i="2" s="1"/>
  <c r="J17" i="2" s="1"/>
  <c r="I16" i="2"/>
  <c r="F16" i="2"/>
  <c r="H16" i="2" s="1"/>
  <c r="J16" i="2" s="1"/>
  <c r="I15" i="2"/>
  <c r="F15" i="2"/>
  <c r="H15" i="2" s="1"/>
  <c r="J15" i="2" s="1"/>
  <c r="I14" i="2"/>
  <c r="F14" i="2"/>
  <c r="H14" i="2" s="1"/>
  <c r="J14" i="2" s="1"/>
  <c r="I13" i="2"/>
  <c r="F13" i="2"/>
  <c r="H13" i="2" s="1"/>
  <c r="J13" i="2" s="1"/>
  <c r="I12" i="2"/>
  <c r="F12" i="2"/>
  <c r="H12" i="2" s="1"/>
  <c r="J12" i="2" s="1"/>
  <c r="I11" i="2"/>
  <c r="F11" i="2"/>
  <c r="H11" i="2" s="1"/>
  <c r="J11" i="2" s="1"/>
  <c r="I10" i="2"/>
  <c r="F10" i="2"/>
  <c r="H10" i="2" s="1"/>
  <c r="J10" i="2" s="1"/>
  <c r="I9" i="2"/>
  <c r="F9" i="2"/>
  <c r="H9" i="2" s="1"/>
  <c r="J9" i="2" s="1"/>
  <c r="I8" i="2"/>
  <c r="F8" i="2"/>
  <c r="H8" i="2" s="1"/>
  <c r="J8" i="2" s="1"/>
  <c r="I7" i="2"/>
  <c r="F7" i="2"/>
  <c r="H7" i="2" s="1"/>
  <c r="J7" i="2" s="1"/>
  <c r="I6" i="2"/>
  <c r="F6" i="2"/>
  <c r="H6" i="2" s="1"/>
  <c r="J6" i="2" s="1"/>
  <c r="I5" i="2"/>
  <c r="F5" i="2"/>
  <c r="H5" i="2" s="1"/>
  <c r="J5" i="2" s="1"/>
  <c r="I4" i="2"/>
  <c r="F4" i="2"/>
  <c r="H4" i="2" s="1"/>
  <c r="J4" i="2" s="1"/>
  <c r="I3" i="2"/>
  <c r="F3" i="2"/>
  <c r="H3" i="2" s="1"/>
  <c r="J3" i="2" s="1"/>
  <c r="I2" i="2"/>
  <c r="F2" i="2"/>
  <c r="H2" i="2" s="1"/>
  <c r="J2" i="2" s="1"/>
  <c r="N3" i="1"/>
  <c r="A4" i="1" s="1"/>
  <c r="L31" i="2" l="1"/>
  <c r="M31" i="2"/>
  <c r="N31" i="2"/>
  <c r="O31" i="2"/>
  <c r="P31" i="2"/>
  <c r="Q31" i="2"/>
  <c r="M30" i="2"/>
  <c r="N30" i="2"/>
  <c r="P30" i="2"/>
  <c r="Q30" i="2"/>
  <c r="L30" i="2"/>
  <c r="O30" i="2"/>
  <c r="L29" i="2"/>
  <c r="M29" i="2"/>
  <c r="N29" i="2"/>
  <c r="O29" i="2"/>
  <c r="P29" i="2"/>
  <c r="Q29" i="2"/>
  <c r="L28" i="2"/>
  <c r="M28" i="2"/>
  <c r="N28" i="2"/>
  <c r="O28" i="2"/>
  <c r="P28" i="2"/>
  <c r="Q28" i="2"/>
  <c r="L27" i="2"/>
  <c r="M27" i="2"/>
  <c r="N27" i="2"/>
  <c r="O27" i="2"/>
  <c r="P27" i="2"/>
  <c r="Q27" i="2"/>
  <c r="L26" i="2"/>
  <c r="M26" i="2"/>
  <c r="N26" i="2"/>
  <c r="O26" i="2"/>
  <c r="P26" i="2"/>
  <c r="Q26" i="2"/>
  <c r="L25" i="2"/>
  <c r="M25" i="2"/>
  <c r="N25" i="2"/>
  <c r="O25" i="2"/>
  <c r="P25" i="2"/>
  <c r="Q25" i="2"/>
  <c r="L24" i="2"/>
  <c r="M24" i="2"/>
  <c r="N24" i="2"/>
  <c r="O24" i="2"/>
  <c r="P24" i="2"/>
  <c r="Q24" i="2"/>
  <c r="L23" i="2"/>
  <c r="M23" i="2"/>
  <c r="N23" i="2"/>
  <c r="O23" i="2"/>
  <c r="P23" i="2"/>
  <c r="Q23" i="2"/>
  <c r="L22" i="2"/>
  <c r="M22" i="2"/>
  <c r="N22" i="2"/>
  <c r="O22" i="2"/>
  <c r="P22" i="2"/>
  <c r="Q22" i="2"/>
  <c r="L21" i="2"/>
  <c r="M21" i="2"/>
  <c r="N21" i="2"/>
  <c r="O21" i="2"/>
  <c r="P21" i="2"/>
  <c r="Q21" i="2"/>
  <c r="L20" i="2"/>
  <c r="M20" i="2"/>
  <c r="N20" i="2"/>
  <c r="O20" i="2"/>
  <c r="P20" i="2"/>
  <c r="Q20" i="2"/>
  <c r="L19" i="2"/>
  <c r="M19" i="2"/>
  <c r="N19" i="2"/>
  <c r="O19" i="2"/>
  <c r="P19" i="2"/>
  <c r="Q19" i="2"/>
  <c r="L18" i="2"/>
  <c r="M18" i="2"/>
  <c r="N18" i="2"/>
  <c r="O18" i="2"/>
  <c r="P18" i="2"/>
  <c r="Q18" i="2"/>
  <c r="L17" i="2"/>
  <c r="M17" i="2"/>
  <c r="N17" i="2"/>
  <c r="O17" i="2"/>
  <c r="P17" i="2"/>
  <c r="Q17" i="2"/>
  <c r="M16" i="2"/>
  <c r="O16" i="2"/>
  <c r="L16" i="2"/>
  <c r="N16" i="2"/>
  <c r="P16" i="2"/>
  <c r="Q16" i="2"/>
  <c r="L15" i="2"/>
  <c r="M15" i="2"/>
  <c r="N15" i="2"/>
  <c r="O15" i="2"/>
  <c r="P15" i="2"/>
  <c r="Q15" i="2"/>
  <c r="L14" i="2"/>
  <c r="M14" i="2"/>
  <c r="N14" i="2"/>
  <c r="O14" i="2"/>
  <c r="P14" i="2"/>
  <c r="Q14" i="2"/>
  <c r="L13" i="2"/>
  <c r="M13" i="2"/>
  <c r="N13" i="2"/>
  <c r="O13" i="2"/>
  <c r="P13" i="2"/>
  <c r="Q13" i="2"/>
  <c r="M12" i="2"/>
  <c r="N12" i="2"/>
  <c r="P12" i="2"/>
  <c r="Q12" i="2"/>
  <c r="L12" i="2"/>
  <c r="O12" i="2"/>
  <c r="M11" i="2"/>
  <c r="L11" i="2"/>
  <c r="N11" i="2"/>
  <c r="O11" i="2"/>
  <c r="P11" i="2"/>
  <c r="Q11" i="2"/>
  <c r="N10" i="2"/>
  <c r="P10" i="2"/>
  <c r="Q10" i="2"/>
  <c r="L10" i="2"/>
  <c r="M10" i="2"/>
  <c r="O10" i="2"/>
  <c r="L9" i="2"/>
  <c r="M9" i="2"/>
  <c r="N9" i="2"/>
  <c r="O9" i="2"/>
  <c r="P9" i="2"/>
  <c r="Q9" i="2"/>
  <c r="L8" i="2"/>
  <c r="M8" i="2"/>
  <c r="N8" i="2"/>
  <c r="O8" i="2"/>
  <c r="P8" i="2"/>
  <c r="Q8" i="2"/>
  <c r="L7" i="2"/>
  <c r="M7" i="2"/>
  <c r="N7" i="2"/>
  <c r="O7" i="2"/>
  <c r="P7" i="2"/>
  <c r="Q7" i="2"/>
  <c r="L6" i="2"/>
  <c r="M6" i="2"/>
  <c r="N6" i="2"/>
  <c r="O6" i="2"/>
  <c r="P6" i="2"/>
  <c r="Q6" i="2"/>
  <c r="L5" i="2"/>
  <c r="M5" i="2"/>
  <c r="N5" i="2"/>
  <c r="O5" i="2"/>
  <c r="P5" i="2"/>
  <c r="Q5" i="2"/>
  <c r="L4" i="2"/>
  <c r="M4" i="2"/>
  <c r="N4" i="2"/>
  <c r="O4" i="2"/>
  <c r="P4" i="2"/>
  <c r="Q4" i="2"/>
  <c r="L3" i="2"/>
  <c r="M3" i="2"/>
  <c r="N3" i="2"/>
  <c r="O3" i="2"/>
  <c r="P3" i="2"/>
  <c r="Q3" i="2"/>
  <c r="N5" i="1"/>
  <c r="L2" i="2"/>
  <c r="M2" i="2"/>
  <c r="N2" i="2"/>
  <c r="O2" i="2"/>
  <c r="P2" i="2"/>
  <c r="Q2" i="2"/>
  <c r="N4" i="1"/>
  <c r="N6" i="1"/>
  <c r="E4" i="1" l="1"/>
  <c r="B15" i="1"/>
  <c r="C25" i="1"/>
  <c r="C4" i="1"/>
  <c r="N7" i="1"/>
  <c r="I4" i="1" s="1"/>
  <c r="B14" i="1"/>
  <c r="B25" i="1"/>
  <c r="B16" i="1"/>
  <c r="D25" i="1"/>
  <c r="G4" i="1"/>
</calcChain>
</file>

<file path=xl/sharedStrings.xml><?xml version="1.0" encoding="utf-8"?>
<sst xmlns="http://schemas.openxmlformats.org/spreadsheetml/2006/main" count="123" uniqueCount="116">
  <si>
    <t>Calc Engine</t>
  </si>
  <si>
    <t>Total Students</t>
  </si>
  <si>
    <t>RED - Dual Risk</t>
  </si>
  <si>
    <t>YELLOW - Single Risk</t>
  </si>
  <si>
    <t>GREEN - Satisfactory</t>
  </si>
  <si>
    <t>% At Risk</t>
  </si>
  <si>
    <t>students</t>
  </si>
  <si>
    <t>of roster</t>
  </si>
  <si>
    <t>Risk Category Breakdown</t>
  </si>
  <si>
    <t>Category</t>
  </si>
  <si>
    <t>Students</t>
  </si>
  <si>
    <t>Weekly Risk Trend — Week 1 is live; type into rows below the table to extend the chart</t>
  </si>
  <si>
    <t>Week</t>
  </si>
  <si>
    <t>Red</t>
  </si>
  <si>
    <t>Yellow</t>
  </si>
  <si>
    <t>Green</t>
  </si>
  <si>
    <t>Week 1 (current)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</si>
  <si>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</si>
  <si>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</si>
  <si>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</si>
  <si>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</si>
  <si>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</si>
  <si>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</si>
  <si>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</si>
  <si>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</si>
  <si>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</si>
  <si>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Student ID</t>
  </si>
  <si>
    <t>Name</t>
  </si>
  <si>
    <t>Test 1</t>
  </si>
  <si>
    <t>Test 2</t>
  </si>
  <si>
    <t>Test 3</t>
  </si>
  <si>
    <t>Average</t>
  </si>
  <si>
    <t>Attendance %</t>
  </si>
  <si>
    <t>Academic Status</t>
  </si>
  <si>
    <t>Attendance Status</t>
  </si>
  <si>
    <t>Risk Category</t>
  </si>
  <si>
    <t>Column1</t>
  </si>
  <si>
    <t>Attn(G)</t>
  </si>
  <si>
    <t>Avg(G)</t>
  </si>
  <si>
    <t>Attn(Y)</t>
  </si>
  <si>
    <t>Avg(Y)</t>
  </si>
  <si>
    <t>Attn(R)</t>
  </si>
  <si>
    <t>Avg(R)</t>
  </si>
  <si>
    <t>X0</t>
  </si>
  <si>
    <t>Y60</t>
  </si>
  <si>
    <t>X75</t>
  </si>
  <si>
    <t>Y0100</t>
  </si>
  <si>
    <t>TR1-1001</t>
  </si>
  <si>
    <t>Grace Bennett</t>
  </si>
  <si>
    <t>TR1-1002</t>
  </si>
  <si>
    <t>Elena Osei</t>
  </si>
  <si>
    <t>TR1-1003</t>
  </si>
  <si>
    <t>Marcus Castillo</t>
  </si>
  <si>
    <t>TR1-1004</t>
  </si>
  <si>
    <t>Priya Nakamura</t>
  </si>
  <si>
    <t>TR1-1005</t>
  </si>
  <si>
    <t>Nathan Whitfield</t>
  </si>
  <si>
    <t>TR1-1006</t>
  </si>
  <si>
    <t>Zoe Alvarado</t>
  </si>
  <si>
    <t>TR1-1007</t>
  </si>
  <si>
    <t>Andre Fenwick</t>
  </si>
  <si>
    <t>TR1-1008</t>
  </si>
  <si>
    <t>Camila Okafor</t>
  </si>
  <si>
    <t>TR1-1009</t>
  </si>
  <si>
    <t>Tyler Preston</t>
  </si>
  <si>
    <t>TR1-1010</t>
  </si>
  <si>
    <t>Fatima Delgado</t>
  </si>
  <si>
    <t>TR1-1011</t>
  </si>
  <si>
    <t>Owen Marsh</t>
  </si>
  <si>
    <t>TR1-1012</t>
  </si>
  <si>
    <t>Ines Idrissi</t>
  </si>
  <si>
    <t>TR1-1013</t>
  </si>
  <si>
    <t>Malik Chaudhary</t>
  </si>
  <si>
    <t>TR1-1014</t>
  </si>
  <si>
    <t>Ruby Winslow</t>
  </si>
  <si>
    <t>TR1-1015</t>
  </si>
  <si>
    <t>Diego Barreto</t>
  </si>
  <si>
    <t>TR1-1016</t>
  </si>
  <si>
    <t>Nadia Kowalski</t>
  </si>
  <si>
    <t>TR1-1017</t>
  </si>
  <si>
    <t>Caleb Njoroge</t>
  </si>
  <si>
    <t>TR1-1018</t>
  </si>
  <si>
    <t>Yasmin Vasquez</t>
  </si>
  <si>
    <t>TR1-1019</t>
  </si>
  <si>
    <t>Trevor Hartley</t>
  </si>
  <si>
    <t>TR1-1020</t>
  </si>
  <si>
    <t>Aaliyah Suarez</t>
  </si>
  <si>
    <t>TR1-1021</t>
  </si>
  <si>
    <t>Felix Ferreira</t>
  </si>
  <si>
    <t>TR1-1022</t>
  </si>
  <si>
    <t>Layla Adeyemi</t>
  </si>
  <si>
    <t>TR1-1023</t>
  </si>
  <si>
    <t>Gavin Blackwood</t>
  </si>
  <si>
    <t>TR1-1024</t>
  </si>
  <si>
    <t>Simone Rojas</t>
  </si>
  <si>
    <t>TR1-1025</t>
  </si>
  <si>
    <t>Wyatt Sinclair</t>
  </si>
  <si>
    <t>TR1-1026</t>
  </si>
  <si>
    <t>Nora Achebe</t>
  </si>
  <si>
    <t>TR1-1027</t>
  </si>
  <si>
    <t>Jaden Montoya</t>
  </si>
  <si>
    <t>TR1-1028</t>
  </si>
  <si>
    <t>Esme Larsson</t>
  </si>
  <si>
    <t>TR1-1029</t>
  </si>
  <si>
    <t>Cody Ekwueme</t>
  </si>
  <si>
    <t>TR1-1030</t>
  </si>
  <si>
    <t>Amara Villanueva</t>
  </si>
  <si>
    <t>Rows: 30 fictional students, randomly generated.</t>
  </si>
  <si>
    <t>Thresholds: Academic Average &lt; 60% = FAIL. Attendance % &lt; 75% = FAIL.</t>
  </si>
  <si>
    <t>SPSS Educator Dashboard — Student Risk Overview— Riverside Elementary (30 students)</t>
  </si>
  <si>
    <t>Excel + Orange SPSS workflow.</t>
  </si>
  <si>
    <t>Columns F (Average), H (Academic Status), I (Attendance Status), and J (Risk Category)</t>
  </si>
  <si>
    <t>are LIVE FORMULAS - replacing columns C:E and G with real data recalculates everything.</t>
  </si>
  <si>
    <t>IMPORTANT - Orange setup: when you load this into Orange, set Academic Status and</t>
  </si>
  <si>
    <t>Attendance Status to META (not Feature) in the File widget. Leaving them as Features</t>
  </si>
  <si>
    <t>causes the Decision Tree to see the answer directly and score a meaningless 1.000.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</si>
</sst>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\%"/>
    <numFmt numFmtId="166" formatCode="0.0"/>
  </numFmts>
  <fonts count="22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A6A6A6"/>
      <name val="Cambria"/>
      <charset val="1"/>
    </font>
    <font>
      <b/>
      <sz val="10"/>
      <color rgb="FFFFFFFF"/>
      <name val="Arial"/>
      <charset val="1"/>
    </font>
    <font>
      <sz val="9"/>
      <color rgb="FFA6A6A6"/>
      <name val="Cambria"/>
      <charset val="1"/>
    </font>
    <font>
      <b/>
      <sz val="24"/>
      <color rgb="FF1F3864"/>
      <name val="Arial"/>
      <charset val="1"/>
    </font>
    <font>
      <b/>
      <sz val="24"/>
      <color rgb="FFC00000"/>
      <name val="Arial"/>
      <charset val="1"/>
    </font>
    <font>
      <b/>
      <sz val="24"/>
      <color rgb="FFBF8F00"/>
      <name val="Arial"/>
      <charset val="1"/>
    </font>
    <font>
      <b/>
      <sz val="24"/>
      <color rgb="FF548235"/>
      <name val="Arial"/>
      <charset val="1"/>
    </font>
    <font>
      <b/>
      <sz val="24"/>
      <color rgb="FF2F5597"/>
      <name val="Arial"/>
      <charset val="1"/>
    </font>
    <font>
      <i/>
      <sz val="9"/>
      <color rgb="FF808080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Cambria"/>
      <charset val="1"/>
    </font>
    <font>
      <b/>
      <sz val="10"/>
      <color rgb="FFC00000"/>
      <name val="Cambria"/>
      <charset val="1"/>
    </font>
    <font>
      <b/>
      <sz val="10"/>
      <color rgb="FFBF8F00"/>
      <name val="Cambria"/>
      <charset val="1"/>
    </font>
    <font>
      <b/>
      <sz val="10"/>
      <color rgb="FF548235"/>
      <name val="Cambria"/>
      <charset val="1"/>
    </font>
    <font>
      <b/>
      <sz val="11"/>
      <color rgb="FF1F3864"/>
      <name val="Arial"/>
      <charset val="1"/>
    </font>
    <font>
      <i/>
      <sz val="10"/>
      <color rgb="FFA6A6A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C00000"/>
      <name val="Arial"/>
      <charset val="1"/>
    </font>
    <font>
      <sz val="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rgb="FF1F3864"/>
        <bgColor rgb="FF333333"/>
      </patternFill>
    </fill>
    <fill>
      <patternFill patternType="solid">
        <fgColor rgb="FFBF8F00"/>
        <bgColor rgb="FF9C6500"/>
      </patternFill>
    </fill>
    <fill>
      <patternFill patternType="solid">
        <fgColor rgb="FF548235"/>
        <bgColor rgb="FF595959"/>
      </patternFill>
    </fill>
    <fill>
      <patternFill patternType="solid">
        <fgColor rgb="FF2F5597"/>
        <bgColor rgb="FF1F3864"/>
      </patternFill>
    </fill>
    <fill>
      <patternFill patternType="solid">
        <fgColor theme="0" tint="-0.499984740745262"/>
        <bgColor rgb="FF9C000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4" fillId="0" borderId="0" xfId="0" applyFont="1"/>
    <xf numFmtId="0" fontId="11" fillId="0" borderId="0" xfId="0" applyFont="1"/>
    <xf numFmtId="0" fontId="12" fillId="3" borderId="0" xfId="0" applyFont="1" applyFill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center"/>
    </xf>
    <xf numFmtId="0" fontId="18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166" fontId="19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20" fillId="0" borderId="0" xfId="0" applyFont="1"/>
    <xf numFmtId="0" fontId="21" fillId="0" borderId="0" xfId="0" applyFont="1"/>
    <xf numFmtId="0" fontId="10" fillId="0" borderId="3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3B3B3"/>
      <rgbColor rgb="FF808080"/>
      <rgbColor rgb="FFA6A6A6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548235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Students by Risk Category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lang="en-US"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Dashboard!$B$13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1A-4A1F-8DD8-AA925121F7F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1A-4A1F-8DD8-AA925121F7F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1A-4A1F-8DD8-AA925121F7F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rgbClr val="000000"/>
                      </a:solidFill>
                      <a:latin typeface="Arial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1A-4A1F-8DD8-AA925121F7F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rgbClr val="000000"/>
                      </a:solidFill>
                      <a:latin typeface="Arial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1A-4A1F-8DD8-AA925121F7F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rgbClr val="000000"/>
                      </a:solidFill>
                      <a:latin typeface="Arial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1A-4A1F-8DD8-AA925121F7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Dashboard!$A$14:$A$16</c:f>
              <c:strCache>
                <c:ptCount val="3"/>
                <c:pt idx="0">
                  <c:v>RED - Dual Risk</c:v>
                </c:pt>
                <c:pt idx="1">
                  <c:v>YELLOW - Single Risk</c:v>
                </c:pt>
                <c:pt idx="2">
                  <c:v>GREEN - Satisfactory</c:v>
                </c:pt>
              </c:strCache>
            </c:strRef>
          </c:cat>
          <c:val>
            <c:numRef>
              <c:f>Dashboard!$B$14:$B$16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A-4A1F-8DD8-AA925121F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453886"/>
        <c:axId val="96111247"/>
      </c:barChart>
      <c:catAx>
        <c:axId val="984538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96111247"/>
        <c:crosses val="autoZero"/>
        <c:auto val="1"/>
        <c:lblAlgn val="ctr"/>
        <c:lblOffset val="100"/>
        <c:noMultiLvlLbl val="0"/>
      </c:catAx>
      <c:valAx>
        <c:axId val="961112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lang="en-US"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98453886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Risk Category Distribution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Dashboard!$B$13</c:f>
              <c:strCache>
                <c:ptCount val="1"/>
                <c:pt idx="0">
                  <c:v>Students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7C-4072-9FB3-1DFCE98C27FE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7C-4072-9FB3-1DFCE98C27FE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7C-4072-9FB3-1DFCE98C27F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rgbClr val="000000"/>
                      </a:solidFill>
                      <a:latin typeface="Calibri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7C-4072-9FB3-1DFCE98C27F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rgbClr val="000000"/>
                      </a:solidFill>
                      <a:latin typeface="Calibri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7C-4072-9FB3-1DFCE98C27F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rgbClr val="000000"/>
                      </a:solidFill>
                      <a:latin typeface="Calibri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7C-4072-9FB3-1DFCE98C27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9525" cap="flat" cmpd="sng" algn="ctr"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Dashboard!$A$14:$A$16</c:f>
              <c:strCache>
                <c:ptCount val="3"/>
                <c:pt idx="0">
                  <c:v>RED - Dual Risk</c:v>
                </c:pt>
                <c:pt idx="1">
                  <c:v>YELLOW - Single Risk</c:v>
                </c:pt>
                <c:pt idx="2">
                  <c:v>GREEN - Satisfactory</c:v>
                </c:pt>
              </c:strCache>
            </c:strRef>
          </c:cat>
          <c:val>
            <c:numRef>
              <c:f>Dashboard!$B$14:$B$16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7C-4072-9FB3-1DFCE98C2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Risk Matrix: Average vs Attendance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'Student Data'!$M$1</c:f>
              <c:strCache>
                <c:ptCount val="1"/>
                <c:pt idx="0">
                  <c:v>Avg(G)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'Student Data'!$L$2:$L$31</c:f>
              <c:strCache>
                <c:ptCount val="30"/>
                <c:pt idx="1">
                  <c:v>86.7%</c:v>
                </c:pt>
                <c:pt idx="4">
                  <c:v>85.1%</c:v>
                </c:pt>
                <c:pt idx="5">
                  <c:v>80.4%</c:v>
                </c:pt>
                <c:pt idx="6">
                  <c:v>84.3%</c:v>
                </c:pt>
                <c:pt idx="12">
                  <c:v>92.3%</c:v>
                </c:pt>
                <c:pt idx="13">
                  <c:v>75.8%</c:v>
                </c:pt>
                <c:pt idx="15">
                  <c:v>95.2%</c:v>
                </c:pt>
                <c:pt idx="16">
                  <c:v>98.1%</c:v>
                </c:pt>
                <c:pt idx="19">
                  <c:v>76.5%</c:v>
                </c:pt>
                <c:pt idx="20">
                  <c:v>76.4%</c:v>
                </c:pt>
                <c:pt idx="21">
                  <c:v>82.0%</c:v>
                </c:pt>
                <c:pt idx="22">
                  <c:v>80.1%</c:v>
                </c:pt>
                <c:pt idx="26">
                  <c:v>76.1%</c:v>
                </c:pt>
                <c:pt idx="28">
                  <c:v>88.4%</c:v>
                </c:pt>
                <c:pt idx="29">
                  <c:v>82.2%</c:v>
                </c:pt>
              </c:strCache>
            </c:strRef>
          </c:xVal>
          <c:yVal>
            <c:numRef>
              <c:f>'Student Data'!$M$2:$M$31</c:f>
              <c:numCache>
                <c:formatCode>0.0</c:formatCode>
                <c:ptCount val="30"/>
                <c:pt idx="0" formatCode="General">
                  <c:v>0</c:v>
                </c:pt>
                <c:pt idx="1">
                  <c:v>74.7</c:v>
                </c:pt>
                <c:pt idx="2" formatCode="General">
                  <c:v>0</c:v>
                </c:pt>
                <c:pt idx="3" formatCode="General">
                  <c:v>0</c:v>
                </c:pt>
                <c:pt idx="4">
                  <c:v>75</c:v>
                </c:pt>
                <c:pt idx="5">
                  <c:v>78.3</c:v>
                </c:pt>
                <c:pt idx="6">
                  <c:v>69.7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>
                  <c:v>80.7</c:v>
                </c:pt>
                <c:pt idx="13">
                  <c:v>63</c:v>
                </c:pt>
                <c:pt idx="14" formatCode="General">
                  <c:v>0</c:v>
                </c:pt>
                <c:pt idx="15">
                  <c:v>88</c:v>
                </c:pt>
                <c:pt idx="16">
                  <c:v>79.7</c:v>
                </c:pt>
                <c:pt idx="17" formatCode="General">
                  <c:v>0</c:v>
                </c:pt>
                <c:pt idx="18" formatCode="General">
                  <c:v>0</c:v>
                </c:pt>
                <c:pt idx="19">
                  <c:v>76.3</c:v>
                </c:pt>
                <c:pt idx="20">
                  <c:v>88.7</c:v>
                </c:pt>
                <c:pt idx="21">
                  <c:v>74</c:v>
                </c:pt>
                <c:pt idx="22">
                  <c:v>78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>
                  <c:v>94.7</c:v>
                </c:pt>
                <c:pt idx="27" formatCode="General">
                  <c:v>0</c:v>
                </c:pt>
                <c:pt idx="28">
                  <c:v>88</c:v>
                </c:pt>
                <c:pt idx="29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D6-49DB-A837-FF3EFC28A0C6}"/>
            </c:ext>
          </c:extLst>
        </c:ser>
        <c:ser>
          <c:idx val="1"/>
          <c:order val="1"/>
          <c:tx>
            <c:strRef>
              <c:f>'Student Data'!$O$1</c:f>
              <c:strCache>
                <c:ptCount val="1"/>
                <c:pt idx="0">
                  <c:v>Avg(Y)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BF8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'Student Data'!$N$2:$N$31</c:f>
              <c:strCache>
                <c:ptCount val="28"/>
                <c:pt idx="2">
                  <c:v>63.1%</c:v>
                </c:pt>
                <c:pt idx="3">
                  <c:v>94.6%</c:v>
                </c:pt>
                <c:pt idx="7">
                  <c:v>59.2%</c:v>
                </c:pt>
                <c:pt idx="8">
                  <c:v>46.1%</c:v>
                </c:pt>
                <c:pt idx="11">
                  <c:v>87.5%</c:v>
                </c:pt>
                <c:pt idx="14">
                  <c:v>96.9%</c:v>
                </c:pt>
                <c:pt idx="17">
                  <c:v>73.2%</c:v>
                </c:pt>
                <c:pt idx="18">
                  <c:v>97.1%</c:v>
                </c:pt>
                <c:pt idx="24">
                  <c:v>49.5%</c:v>
                </c:pt>
                <c:pt idx="25">
                  <c:v>61.5%</c:v>
                </c:pt>
                <c:pt idx="27">
                  <c:v>86.8%</c:v>
                </c:pt>
              </c:strCache>
            </c:strRef>
          </c:xVal>
          <c:yVal>
            <c:numRef>
              <c:f>'Student Data'!$O$2:$O$31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 formatCode="0.0">
                  <c:v>79.7</c:v>
                </c:pt>
                <c:pt idx="3" formatCode="0.0">
                  <c:v>48.7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">
                  <c:v>73</c:v>
                </c:pt>
                <c:pt idx="8" formatCode="0.0">
                  <c:v>72.7</c:v>
                </c:pt>
                <c:pt idx="9">
                  <c:v>0</c:v>
                </c:pt>
                <c:pt idx="10">
                  <c:v>0</c:v>
                </c:pt>
                <c:pt idx="11" formatCode="0.0">
                  <c:v>47.7</c:v>
                </c:pt>
                <c:pt idx="12">
                  <c:v>0</c:v>
                </c:pt>
                <c:pt idx="13">
                  <c:v>0</c:v>
                </c:pt>
                <c:pt idx="14" formatCode="0.0">
                  <c:v>51.7</c:v>
                </c:pt>
                <c:pt idx="15">
                  <c:v>0</c:v>
                </c:pt>
                <c:pt idx="16">
                  <c:v>0</c:v>
                </c:pt>
                <c:pt idx="17" formatCode="0.0">
                  <c:v>85</c:v>
                </c:pt>
                <c:pt idx="18" formatCode="0.0">
                  <c:v>38.299999999999997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 formatCode="0.0">
                  <c:v>73.7</c:v>
                </c:pt>
                <c:pt idx="25" formatCode="0.0">
                  <c:v>63.7</c:v>
                </c:pt>
                <c:pt idx="26">
                  <c:v>0</c:v>
                </c:pt>
                <c:pt idx="27" formatCode="0.0">
                  <c:v>43.3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D6-49DB-A837-FF3EFC28A0C6}"/>
            </c:ext>
          </c:extLst>
        </c:ser>
        <c:ser>
          <c:idx val="2"/>
          <c:order val="2"/>
          <c:tx>
            <c:strRef>
              <c:f>'Student Data'!$Q$1</c:f>
              <c:strCache>
                <c:ptCount val="1"/>
                <c:pt idx="0">
                  <c:v>Avg(R)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'Student Data'!$P$2:$P$31</c:f>
              <c:strCache>
                <c:ptCount val="24"/>
                <c:pt idx="0">
                  <c:v>54.9%</c:v>
                </c:pt>
                <c:pt idx="9">
                  <c:v>54.9%</c:v>
                </c:pt>
                <c:pt idx="10">
                  <c:v>70.7%</c:v>
                </c:pt>
                <c:pt idx="23">
                  <c:v>70.8%</c:v>
                </c:pt>
              </c:strCache>
            </c:strRef>
          </c:xVal>
          <c:yVal>
            <c:numRef>
              <c:f>'Student Data'!$Q$2:$Q$31</c:f>
              <c:numCache>
                <c:formatCode>General</c:formatCode>
                <c:ptCount val="30"/>
                <c:pt idx="0" formatCode="0.0">
                  <c:v>45.3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">
                  <c:v>38</c:v>
                </c:pt>
                <c:pt idx="10" formatCode="0.0">
                  <c:v>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 formatCode="0.0">
                  <c:v>42.7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D6-49DB-A837-FF3EFC28A0C6}"/>
            </c:ext>
          </c:extLst>
        </c:ser>
        <c:ser>
          <c:idx val="3"/>
          <c:order val="3"/>
          <c:tx>
            <c:v>Academic Threshold (60)</c:v>
          </c:tx>
          <c:spPr>
            <a:ln w="1260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'Student Data'!$S$2:$S$3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'Student Data'!$S$2:$S$3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D6-49DB-A837-FF3EFC28A0C6}"/>
            </c:ext>
          </c:extLst>
        </c:ser>
        <c:ser>
          <c:idx val="4"/>
          <c:order val="4"/>
          <c:tx>
            <c:v>Attendance Threshold (75)</c:v>
          </c:tx>
          <c:spPr>
            <a:ln w="1260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'Student Data'!$T$2:$T$3</c:f>
              <c:numCache>
                <c:formatCode>General</c:formatCode>
                <c:ptCount val="2"/>
                <c:pt idx="0">
                  <c:v>75</c:v>
                </c:pt>
                <c:pt idx="1">
                  <c:v>75</c:v>
                </c:pt>
              </c:numCache>
            </c:numRef>
          </c:xVal>
          <c:yVal>
            <c:numRef>
              <c:f>'Student Data'!$U$2:$U$3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D6-49DB-A837-FF3EFC28A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40391"/>
        <c:axId val="14980843"/>
      </c:scatterChart>
      <c:valAx>
        <c:axId val="68240391"/>
        <c:scaling>
          <c:orientation val="minMax"/>
          <c:max val="1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980843"/>
        <c:crosses val="autoZero"/>
        <c:crossBetween val="midCat"/>
      </c:valAx>
      <c:valAx>
        <c:axId val="14980843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Class Average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24039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Weekly Risk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Dashboard!$B$24</c:f>
              <c:strCache>
                <c:ptCount val="1"/>
                <c:pt idx="0">
                  <c:v>Red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Dashboard!$A$25:$A$34</c:f>
              <c:strCache>
                <c:ptCount val="10"/>
                <c:pt idx="0">
                  <c:v>Week 1 (current)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Dashboard!$B$25:$B$34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B6-4205-9895-C1B6B835C1C6}"/>
            </c:ext>
          </c:extLst>
        </c:ser>
        <c:ser>
          <c:idx val="1"/>
          <c:order val="1"/>
          <c:tx>
            <c:strRef>
              <c:f>Dashboard!$C$24</c:f>
              <c:strCache>
                <c:ptCount val="1"/>
                <c:pt idx="0">
                  <c:v>Yellow</c:v>
                </c:pt>
              </c:strCache>
            </c:strRef>
          </c:tx>
          <c:spPr>
            <a:ln w="21960">
              <a:solidFill>
                <a:srgbClr val="BF8F00"/>
              </a:solidFill>
              <a:round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Dashboard!$A$25:$A$34</c:f>
              <c:strCache>
                <c:ptCount val="10"/>
                <c:pt idx="0">
                  <c:v>Week 1 (current)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Dashboard!$C$25:$C$34</c:f>
              <c:numCache>
                <c:formatCode>General</c:formatCode>
                <c:ptCount val="10"/>
                <c:pt idx="0">
                  <c:v>11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B6-4205-9895-C1B6B835C1C6}"/>
            </c:ext>
          </c:extLst>
        </c:ser>
        <c:ser>
          <c:idx val="2"/>
          <c:order val="2"/>
          <c:tx>
            <c:strRef>
              <c:f>Dashboard!$D$24</c:f>
              <c:strCache>
                <c:ptCount val="1"/>
                <c:pt idx="0">
                  <c:v>Green</c:v>
                </c:pt>
              </c:strCache>
            </c:strRef>
          </c:tx>
          <c:spPr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Dashboard!$A$25:$A$34</c:f>
              <c:strCache>
                <c:ptCount val="10"/>
                <c:pt idx="0">
                  <c:v>Week 1 (current)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Dashboard!$D$25:$D$34</c:f>
              <c:numCache>
                <c:formatCode>General</c:formatCode>
                <c:ptCount val="10"/>
                <c:pt idx="0">
                  <c:v>15</c:v>
                </c:pt>
                <c:pt idx="1">
                  <c:v>21</c:v>
                </c:pt>
                <c:pt idx="2">
                  <c:v>17</c:v>
                </c:pt>
                <c:pt idx="3">
                  <c:v>17</c:v>
                </c:pt>
                <c:pt idx="4">
                  <c:v>22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B6-4205-9895-C1B6B835C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7589706"/>
        <c:axId val="65890723"/>
      </c:lineChart>
      <c:catAx>
        <c:axId val="375897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890723"/>
        <c:crosses val="autoZero"/>
        <c:auto val="1"/>
        <c:lblAlgn val="ctr"/>
        <c:lblOffset val="100"/>
        <c:noMultiLvlLbl val="0"/>
      </c:catAx>
      <c:valAx>
        <c:axId val="6589072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5897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205740</xdr:colOff>
      <xdr:row>7</xdr:row>
      <xdr:rowOff>45720</xdr:rowOff>
    </xdr:from>
    <xdr:to>
      <xdr:col>8</xdr:col>
      <xdr:colOff>442560</xdr:colOff>
      <xdr:row>22</xdr:row>
      <xdr:rowOff>44460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7</xdr:row>
      <xdr:rowOff>45720</xdr:rowOff>
    </xdr:from>
    <xdr:to>
      <xdr:col>15</xdr:col>
      <xdr:colOff>342900</xdr:colOff>
      <xdr:row>22</xdr:row>
      <xdr:rowOff>44460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182880</xdr:colOff>
      <xdr:row>23</xdr:row>
      <xdr:rowOff>106680</xdr:rowOff>
    </xdr:from>
    <xdr:to>
      <xdr:col>11</xdr:col>
      <xdr:colOff>655320</xdr:colOff>
      <xdr:row>35</xdr:row>
      <xdr:rowOff>2640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586740</xdr:colOff>
      <xdr:row>23</xdr:row>
      <xdr:rowOff>91440</xdr:rowOff>
    </xdr:from>
    <xdr:to>
      <xdr:col>18</xdr:col>
      <xdr:colOff>144780</xdr:colOff>
      <xdr:row>35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WeeklyTrendLogSample" displayName="WeeklyTrendLogSample" ref="A24:D34" totalsRowShown="0">
  <autoFilter ref="A24:D34" xr:uid="{00000000-0009-0000-0100-000002000000}"/>
  <tableColumns count="4">
    <tableColumn id="1" xr3:uid="{00000000-0010-0000-0000-000001000000}" name="Week"/>
    <tableColumn id="2" xr3:uid="{00000000-0010-0000-0000-000002000000}" name="Red"/>
    <tableColumn id="3" xr3:uid="{00000000-0010-0000-0000-000003000000}" name="Yellow"/>
    <tableColumn id="4" xr3:uid="{00000000-0010-0000-0000-000004000000}" name="Gree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Q31" totalsRowShown="0">
  <autoFilter ref="A1:Q31" xr:uid="{00000000-0009-0000-0100-000001000000}"/>
  <tableColumns count="17">
    <tableColumn id="1" xr3:uid="{00000000-0010-0000-0100-000001000000}" name="Student ID"/>
    <tableColumn id="2" xr3:uid="{00000000-0010-0000-0100-000002000000}" name="Name"/>
    <tableColumn id="3" xr3:uid="{00000000-0010-0000-0100-000003000000}" name="Test 1"/>
    <tableColumn id="4" xr3:uid="{00000000-0010-0000-0100-000004000000}" name="Test 2"/>
    <tableColumn id="5" xr3:uid="{00000000-0010-0000-0100-000005000000}" name="Test 3"/>
    <tableColumn id="6" xr3:uid="{00000000-0010-0000-0100-000006000000}" name="Average"/>
    <tableColumn id="7" xr3:uid="{00000000-0010-0000-0100-000007000000}" name="Attendance %"/>
    <tableColumn id="8" xr3:uid="{00000000-0010-0000-0100-000008000000}" name="Academic Status"/>
    <tableColumn id="9" xr3:uid="{00000000-0010-0000-0100-000009000000}" name="Attendance Status"/>
    <tableColumn id="10" xr3:uid="{00000000-0010-0000-0100-00000A000000}" name="Risk Category"/>
    <tableColumn id="11" xr3:uid="{00000000-0010-0000-0100-00000B000000}" name="Column1"/>
    <tableColumn id="12" xr3:uid="{00000000-0010-0000-0100-00000C000000}" name="Attn(G)"/>
    <tableColumn id="13" xr3:uid="{00000000-0010-0000-0100-00000D000000}" name="Avg(G)"/>
    <tableColumn id="14" xr3:uid="{00000000-0010-0000-0100-00000E000000}" name="Attn(Y)"/>
    <tableColumn id="15" xr3:uid="{00000000-0010-0000-0100-00000F000000}" name="Avg(Y)"/>
    <tableColumn id="16" xr3:uid="{00000000-0010-0000-0100-000010000000}" name="Attn(R)"/>
    <tableColumn id="17" xr3:uid="{00000000-0010-0000-0100-000011000000}" name="Avg(R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showGridLines="0" tabSelected="1" zoomScale="70" zoomScaleNormal="70" workbookViewId="0">
      <selection activeCell="V8" sqref="V8"/>
    </sheetView>
  </sheetViews>
  <sheetFormatPr defaultColWidth="8.6640625" defaultRowHeight="14.4" x14ac:dyDescent="0.3"/>
  <cols>
    <col min="1" max="12" width="10.5546875" customWidth="1"/>
  </cols>
  <sheetData>
    <row r="1" spans="1:14" ht="30" customHeight="1" x14ac:dyDescent="0.3">
      <c r="A1" s="29" t="s">
        <v>109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N1" s="1" t="s">
        <v>0</v>
      </c>
    </row>
    <row r="2" spans="1:14" ht="30" customHeight="1" x14ac:dyDescent="0.3"/>
    <row r="3" spans="1:14" x14ac:dyDescent="0.3">
      <c r="A3" s="24" t="s">
        <v>1</v>
      </c>
      <c r="B3" s="24"/>
      <c r="C3" s="25" t="s">
        <v>2</v>
      </c>
      <c r="D3" s="25"/>
      <c r="E3" s="26" t="s">
        <v>3</v>
      </c>
      <c r="F3" s="26"/>
      <c r="G3" s="27" t="s">
        <v>4</v>
      </c>
      <c r="H3" s="27"/>
      <c r="I3" s="28" t="s">
        <v>5</v>
      </c>
      <c r="J3" s="28"/>
      <c r="N3" s="2">
        <f>COUNTA('Student Data'!A2:A31)</f>
        <v>30</v>
      </c>
    </row>
    <row r="4" spans="1:14" ht="19.5" customHeight="1" x14ac:dyDescent="0.3">
      <c r="A4" s="19">
        <f>N3</f>
        <v>30</v>
      </c>
      <c r="B4" s="19"/>
      <c r="C4" s="20">
        <f>N4</f>
        <v>4</v>
      </c>
      <c r="D4" s="20"/>
      <c r="E4" s="21">
        <f>N5</f>
        <v>11</v>
      </c>
      <c r="F4" s="21"/>
      <c r="G4" s="22">
        <f>N6</f>
        <v>15</v>
      </c>
      <c r="H4" s="22"/>
      <c r="I4" s="23">
        <f>N7</f>
        <v>0.5</v>
      </c>
      <c r="J4" s="23"/>
      <c r="N4" s="2">
        <f>COUNTIF('Student Data'!J2:J31,"RED - Dual Risk")</f>
        <v>4</v>
      </c>
    </row>
    <row r="5" spans="1:14" ht="27.75" customHeight="1" x14ac:dyDescent="0.3">
      <c r="A5" s="19"/>
      <c r="B5" s="19"/>
      <c r="C5" s="20"/>
      <c r="D5" s="20"/>
      <c r="E5" s="21"/>
      <c r="F5" s="21"/>
      <c r="G5" s="22"/>
      <c r="H5" s="22"/>
      <c r="I5" s="23"/>
      <c r="J5" s="23"/>
      <c r="N5" s="2">
        <f>COUNTIF('Student Data'!J2:J31,"YELLOW - Single Risk")</f>
        <v>11</v>
      </c>
    </row>
    <row r="6" spans="1:14" ht="27.75" customHeight="1" x14ac:dyDescent="0.3">
      <c r="A6" s="19"/>
      <c r="B6" s="19"/>
      <c r="C6" s="20"/>
      <c r="D6" s="20"/>
      <c r="E6" s="21"/>
      <c r="F6" s="21"/>
      <c r="G6" s="22"/>
      <c r="H6" s="22"/>
      <c r="I6" s="23"/>
      <c r="J6" s="23"/>
      <c r="N6" s="2">
        <f>COUNTIF('Student Data'!J2:J31,"GREEN - Satisfactory")</f>
        <v>15</v>
      </c>
    </row>
    <row r="7" spans="1:14" ht="27.75" customHeight="1" x14ac:dyDescent="0.3">
      <c r="A7" s="18" t="s">
        <v>6</v>
      </c>
      <c r="B7" s="18"/>
      <c r="C7" s="18" t="s">
        <v>6</v>
      </c>
      <c r="D7" s="18"/>
      <c r="E7" s="18" t="s">
        <v>6</v>
      </c>
      <c r="F7" s="18"/>
      <c r="G7" s="18" t="s">
        <v>6</v>
      </c>
      <c r="H7" s="18"/>
      <c r="I7" s="18" t="s">
        <v>7</v>
      </c>
      <c r="J7" s="18"/>
      <c r="N7" s="2">
        <f>(N4+N5)/N3</f>
        <v>0.5</v>
      </c>
    </row>
    <row r="8" spans="1:14" ht="15.75" customHeight="1" x14ac:dyDescent="0.3"/>
    <row r="12" spans="1:14" ht="15" customHeight="1" x14ac:dyDescent="0.3">
      <c r="A12" s="3" t="s">
        <v>8</v>
      </c>
    </row>
    <row r="13" spans="1:14" x14ac:dyDescent="0.3">
      <c r="A13" s="4" t="s">
        <v>9</v>
      </c>
      <c r="B13" s="4" t="s">
        <v>10</v>
      </c>
    </row>
    <row r="14" spans="1:14" x14ac:dyDescent="0.3">
      <c r="A14" s="5" t="s">
        <v>2</v>
      </c>
      <c r="B14">
        <f>N4</f>
        <v>4</v>
      </c>
    </row>
    <row r="15" spans="1:14" x14ac:dyDescent="0.3">
      <c r="A15" s="6" t="s">
        <v>3</v>
      </c>
      <c r="B15">
        <f>N5</f>
        <v>11</v>
      </c>
    </row>
    <row r="16" spans="1:14" x14ac:dyDescent="0.3">
      <c r="A16" s="7" t="s">
        <v>4</v>
      </c>
      <c r="B16">
        <f>N6</f>
        <v>15</v>
      </c>
    </row>
    <row r="23" spans="1:4" x14ac:dyDescent="0.3">
      <c r="A23" s="8" t="s">
        <v>11</v>
      </c>
    </row>
    <row r="24" spans="1:4" x14ac:dyDescent="0.3">
      <c r="A24" s="4" t="s">
        <v>12</v>
      </c>
      <c r="B24" s="4" t="s">
        <v>13</v>
      </c>
      <c r="C24" s="4" t="s">
        <v>14</v>
      </c>
      <c r="D24" s="4" t="s">
        <v>15</v>
      </c>
    </row>
    <row r="25" spans="1:4" x14ac:dyDescent="0.3">
      <c r="A25" t="s">
        <v>16</v>
      </c>
      <c r="B25">
        <f>N4</f>
        <v>4</v>
      </c>
      <c r="C25">
        <f>N5</f>
        <v>11</v>
      </c>
      <c r="D25">
        <f>N6</f>
        <v>15</v>
      </c>
    </row>
    <row r="26" spans="1:4" x14ac:dyDescent="0.3">
      <c r="A26" t="s">
        <v>17</v>
      </c>
      <c r="B26">
        <v>4</v>
      </c>
      <c r="C26">
        <v>5</v>
      </c>
      <c r="D26">
        <v>21</v>
      </c>
    </row>
    <row r="27" spans="1:4" x14ac:dyDescent="0.3">
      <c r="A27" t="s">
        <v>18</v>
      </c>
      <c r="B27">
        <v>5</v>
      </c>
      <c r="C27">
        <v>8</v>
      </c>
      <c r="D27">
        <v>17</v>
      </c>
    </row>
    <row r="28" spans="1:4" x14ac:dyDescent="0.3">
      <c r="A28" t="s">
        <v>19</v>
      </c>
      <c r="B28">
        <v>5</v>
      </c>
      <c r="C28">
        <v>8</v>
      </c>
      <c r="D28">
        <v>17</v>
      </c>
    </row>
    <row r="29" spans="1:4" x14ac:dyDescent="0.3">
      <c r="A29" t="s">
        <v>20</v>
      </c>
      <c r="B29">
        <v>3</v>
      </c>
      <c r="C29">
        <v>5</v>
      </c>
      <c r="D29">
        <v>22</v>
      </c>
    </row>
    <row r="30" spans="1:4" x14ac:dyDescent="0.3">
      <c r="A30" t="s">
        <v>21</v>
      </c>
      <c r="B30">
        <v>5</v>
      </c>
      <c r="C30">
        <v>5</v>
      </c>
      <c r="D30">
        <v>20</v>
      </c>
    </row>
    <row r="31" spans="1:4" x14ac:dyDescent="0.3">
      <c r="A31" s="9" t="s">
        <v>22</v>
      </c>
    </row>
    <row r="32" spans="1:4" x14ac:dyDescent="0.3">
      <c r="A32" s="9" t="s">
        <v>23</v>
      </c>
    </row>
    <row r="33" spans="1:1" x14ac:dyDescent="0.3">
      <c r="A33" s="9" t="s">
        <v>24</v>
      </c>
    </row>
    <row r="34" spans="1:1" x14ac:dyDescent="0.3">
      <c r="A34" s="9" t="s">
        <v>25</v>
      </c>
    </row>
  </sheetData>
  <mergeCells count="16">
    <mergeCell ref="A1:L1"/>
    <mergeCell ref="A3:B3"/>
    <mergeCell ref="C3:D3"/>
    <mergeCell ref="E3:F3"/>
    <mergeCell ref="G3:H3"/>
    <mergeCell ref="I3:J3"/>
    <mergeCell ref="A4:B6"/>
    <mergeCell ref="C4:D6"/>
    <mergeCell ref="E4:F6"/>
    <mergeCell ref="G4:H6"/>
    <mergeCell ref="I4:J6"/>
    <mergeCell ref="A7:B7"/>
    <mergeCell ref="C7:D7"/>
    <mergeCell ref="E7:F7"/>
    <mergeCell ref="G7:H7"/>
    <mergeCell ref="I7:J7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1"/>
  <sheetViews>
    <sheetView zoomScaleNormal="100" workbookViewId="0">
      <pane ySplit="1" topLeftCell="A2" activePane="bottomLeft" state="frozen"/>
      <selection pane="bottomLeft" activeCell="J2" sqref="J2"/>
    </sheetView>
  </sheetViews>
  <sheetFormatPr defaultColWidth="8.6640625" defaultRowHeight="14.4" x14ac:dyDescent="0.3"/>
  <cols>
    <col min="1" max="1" width="12" customWidth="1"/>
    <col min="2" max="2" width="20" customWidth="1"/>
    <col min="3" max="5" width="11.5546875" customWidth="1"/>
    <col min="6" max="6" width="13.6640625" bestFit="1" customWidth="1"/>
    <col min="7" max="7" width="19.109375" bestFit="1" customWidth="1"/>
    <col min="8" max="8" width="22" bestFit="1" customWidth="1"/>
    <col min="9" max="9" width="23.44140625" bestFit="1" customWidth="1"/>
    <col min="10" max="10" width="20" customWidth="1"/>
    <col min="11" max="17" width="11.44140625" customWidth="1"/>
  </cols>
  <sheetData>
    <row r="1" spans="1:21" x14ac:dyDescent="0.3">
      <c r="A1" s="10" t="s">
        <v>26</v>
      </c>
      <c r="B1" s="10" t="s">
        <v>27</v>
      </c>
      <c r="C1" s="10" t="s">
        <v>28</v>
      </c>
      <c r="D1" s="10" t="s">
        <v>29</v>
      </c>
      <c r="E1" s="10" t="s">
        <v>30</v>
      </c>
      <c r="F1" s="10" t="s">
        <v>31</v>
      </c>
      <c r="G1" s="10" t="s">
        <v>32</v>
      </c>
      <c r="H1" s="10" t="s">
        <v>33</v>
      </c>
      <c r="I1" s="10" t="s">
        <v>34</v>
      </c>
      <c r="J1" s="10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</row>
    <row r="2" spans="1:21" x14ac:dyDescent="0.3">
      <c r="A2" s="11" t="s">
        <v>47</v>
      </c>
      <c r="B2" s="11" t="s">
        <v>48</v>
      </c>
      <c r="C2" s="11">
        <v>35</v>
      </c>
      <c r="D2" s="11">
        <v>48</v>
      </c>
      <c r="E2" s="11">
        <v>53</v>
      </c>
      <c r="F2" s="12">
        <f t="shared" ref="F2:F31" si="0">ROUND(AVERAGE(C2:E2),1)</f>
        <v>45.3</v>
      </c>
      <c r="G2" s="13">
        <v>54.9</v>
      </c>
      <c r="H2" s="11" t="str">
        <f t="shared" ref="H2:H31" si="1">IF(F2&lt;60,"FAIL","PASS")</f>
        <v>FAIL</v>
      </c>
      <c r="I2" s="11" t="str">
        <f t="shared" ref="I2:I31" si="2">IF(G2&lt;75,"FAIL","PASS")</f>
        <v>FAIL</v>
      </c>
      <c r="J2" s="11" t="str">
        <f t="shared" ref="J2:J31" si="3">IF(AND(H2="FAIL",I2="FAIL"),"RED - Dual Risk",IF(OR(H2="FAIL",I2="FAIL"),"YELLOW - Single Risk","GREEN - Satisfactory"))</f>
        <v>RED - Dual Risk</v>
      </c>
      <c r="L2" t="str">
        <f t="shared" ref="L2:L31" si="4">IF(J2="GREEN - Satisfactory",G2,"")</f>
        <v/>
      </c>
      <c r="M2" t="str">
        <f t="shared" ref="M2:M31" si="5">IF(J2="GREEN - Satisfactory",F2,"")</f>
        <v/>
      </c>
      <c r="N2" t="str">
        <f t="shared" ref="N2:N31" si="6">IF(J2="YELLOW - Single Risk",G2,"")</f>
        <v/>
      </c>
      <c r="O2" t="str">
        <f t="shared" ref="O2:O31" si="7">IF(J2="YELLOW - Single Risk",F2,"")</f>
        <v/>
      </c>
      <c r="P2" s="14">
        <f t="shared" ref="P2:P31" si="8">IF(J2="RED - Dual Risk",G2,"")</f>
        <v>54.9</v>
      </c>
      <c r="Q2" s="15">
        <f t="shared" ref="Q2:Q31" si="9">IF(J2="RED - Dual Risk",F2,"")</f>
        <v>45.3</v>
      </c>
      <c r="R2">
        <v>0</v>
      </c>
      <c r="S2">
        <v>60</v>
      </c>
      <c r="T2">
        <v>75</v>
      </c>
      <c r="U2">
        <v>0</v>
      </c>
    </row>
    <row r="3" spans="1:21" x14ac:dyDescent="0.3">
      <c r="A3" s="11" t="s">
        <v>49</v>
      </c>
      <c r="B3" s="11" t="s">
        <v>50</v>
      </c>
      <c r="C3" s="11">
        <v>73</v>
      </c>
      <c r="D3" s="11">
        <v>64</v>
      </c>
      <c r="E3" s="11">
        <v>87</v>
      </c>
      <c r="F3" s="12">
        <f t="shared" si="0"/>
        <v>74.7</v>
      </c>
      <c r="G3" s="13">
        <v>86.7</v>
      </c>
      <c r="H3" s="11" t="str">
        <f t="shared" si="1"/>
        <v>PASS</v>
      </c>
      <c r="I3" s="11" t="str">
        <f t="shared" si="2"/>
        <v>PASS</v>
      </c>
      <c r="J3" s="11" t="str">
        <f t="shared" si="3"/>
        <v>GREEN - Satisfactory</v>
      </c>
      <c r="L3" s="14">
        <f t="shared" si="4"/>
        <v>86.7</v>
      </c>
      <c r="M3" s="15">
        <f t="shared" si="5"/>
        <v>74.7</v>
      </c>
      <c r="N3" t="str">
        <f t="shared" si="6"/>
        <v/>
      </c>
      <c r="O3" t="str">
        <f t="shared" si="7"/>
        <v/>
      </c>
      <c r="P3" t="str">
        <f t="shared" si="8"/>
        <v/>
      </c>
      <c r="Q3" t="str">
        <f t="shared" si="9"/>
        <v/>
      </c>
      <c r="R3">
        <v>100</v>
      </c>
      <c r="S3">
        <v>60</v>
      </c>
      <c r="T3">
        <v>75</v>
      </c>
      <c r="U3">
        <v>100</v>
      </c>
    </row>
    <row r="4" spans="1:21" x14ac:dyDescent="0.3">
      <c r="A4" s="11" t="s">
        <v>51</v>
      </c>
      <c r="B4" s="11" t="s">
        <v>52</v>
      </c>
      <c r="C4" s="11">
        <v>73</v>
      </c>
      <c r="D4" s="11">
        <v>67</v>
      </c>
      <c r="E4" s="11">
        <v>99</v>
      </c>
      <c r="F4" s="12">
        <f t="shared" si="0"/>
        <v>79.7</v>
      </c>
      <c r="G4" s="13">
        <v>63.1</v>
      </c>
      <c r="H4" s="11" t="str">
        <f t="shared" si="1"/>
        <v>PASS</v>
      </c>
      <c r="I4" s="11" t="str">
        <f t="shared" si="2"/>
        <v>FAIL</v>
      </c>
      <c r="J4" s="11" t="str">
        <f t="shared" si="3"/>
        <v>YELLOW - Single Risk</v>
      </c>
      <c r="L4" t="str">
        <f t="shared" si="4"/>
        <v/>
      </c>
      <c r="M4" t="str">
        <f t="shared" si="5"/>
        <v/>
      </c>
      <c r="N4" s="14">
        <f t="shared" si="6"/>
        <v>63.1</v>
      </c>
      <c r="O4" s="15">
        <f t="shared" si="7"/>
        <v>79.7</v>
      </c>
      <c r="P4" t="str">
        <f t="shared" si="8"/>
        <v/>
      </c>
      <c r="Q4" t="str">
        <f t="shared" si="9"/>
        <v/>
      </c>
    </row>
    <row r="5" spans="1:21" x14ac:dyDescent="0.3">
      <c r="A5" s="11" t="s">
        <v>53</v>
      </c>
      <c r="B5" s="11" t="s">
        <v>54</v>
      </c>
      <c r="C5" s="11">
        <v>56</v>
      </c>
      <c r="D5" s="11">
        <v>43</v>
      </c>
      <c r="E5" s="11">
        <v>47</v>
      </c>
      <c r="F5" s="12">
        <f t="shared" si="0"/>
        <v>48.7</v>
      </c>
      <c r="G5" s="13">
        <v>94.6</v>
      </c>
      <c r="H5" s="11" t="str">
        <f t="shared" si="1"/>
        <v>FAIL</v>
      </c>
      <c r="I5" s="11" t="str">
        <f t="shared" si="2"/>
        <v>PASS</v>
      </c>
      <c r="J5" s="11" t="str">
        <f t="shared" si="3"/>
        <v>YELLOW - Single Risk</v>
      </c>
      <c r="L5" t="str">
        <f t="shared" si="4"/>
        <v/>
      </c>
      <c r="M5" t="str">
        <f t="shared" si="5"/>
        <v/>
      </c>
      <c r="N5" s="14">
        <f t="shared" si="6"/>
        <v>94.6</v>
      </c>
      <c r="O5" s="15">
        <f t="shared" si="7"/>
        <v>48.7</v>
      </c>
      <c r="P5" t="str">
        <f t="shared" si="8"/>
        <v/>
      </c>
      <c r="Q5" t="str">
        <f t="shared" si="9"/>
        <v/>
      </c>
    </row>
    <row r="6" spans="1:21" x14ac:dyDescent="0.3">
      <c r="A6" s="11" t="s">
        <v>55</v>
      </c>
      <c r="B6" s="11" t="s">
        <v>56</v>
      </c>
      <c r="C6" s="11">
        <v>74</v>
      </c>
      <c r="D6" s="11">
        <v>87</v>
      </c>
      <c r="E6" s="11">
        <v>64</v>
      </c>
      <c r="F6" s="12">
        <f t="shared" si="0"/>
        <v>75</v>
      </c>
      <c r="G6" s="13">
        <v>85.1</v>
      </c>
      <c r="H6" s="11" t="str">
        <f t="shared" si="1"/>
        <v>PASS</v>
      </c>
      <c r="I6" s="11" t="str">
        <f t="shared" si="2"/>
        <v>PASS</v>
      </c>
      <c r="J6" s="11" t="str">
        <f t="shared" si="3"/>
        <v>GREEN - Satisfactory</v>
      </c>
      <c r="L6" s="14">
        <f t="shared" si="4"/>
        <v>85.1</v>
      </c>
      <c r="M6" s="15">
        <f t="shared" si="5"/>
        <v>75</v>
      </c>
      <c r="N6" t="str">
        <f t="shared" si="6"/>
        <v/>
      </c>
      <c r="O6" t="str">
        <f t="shared" si="7"/>
        <v/>
      </c>
      <c r="P6" t="str">
        <f t="shared" si="8"/>
        <v/>
      </c>
      <c r="Q6" t="str">
        <f t="shared" si="9"/>
        <v/>
      </c>
    </row>
    <row r="7" spans="1:21" x14ac:dyDescent="0.3">
      <c r="A7" s="11" t="s">
        <v>57</v>
      </c>
      <c r="B7" s="11" t="s">
        <v>58</v>
      </c>
      <c r="C7" s="11">
        <v>86</v>
      </c>
      <c r="D7" s="11">
        <v>60</v>
      </c>
      <c r="E7" s="11">
        <v>89</v>
      </c>
      <c r="F7" s="12">
        <f t="shared" si="0"/>
        <v>78.3</v>
      </c>
      <c r="G7" s="13">
        <v>80.400000000000006</v>
      </c>
      <c r="H7" s="11" t="str">
        <f t="shared" si="1"/>
        <v>PASS</v>
      </c>
      <c r="I7" s="11" t="str">
        <f t="shared" si="2"/>
        <v>PASS</v>
      </c>
      <c r="J7" s="11" t="str">
        <f t="shared" si="3"/>
        <v>GREEN - Satisfactory</v>
      </c>
      <c r="L7" s="14">
        <f t="shared" si="4"/>
        <v>80.400000000000006</v>
      </c>
      <c r="M7" s="15">
        <f t="shared" si="5"/>
        <v>78.3</v>
      </c>
      <c r="N7" t="str">
        <f t="shared" si="6"/>
        <v/>
      </c>
      <c r="O7" t="str">
        <f t="shared" si="7"/>
        <v/>
      </c>
      <c r="P7" t="str">
        <f t="shared" si="8"/>
        <v/>
      </c>
      <c r="Q7" t="str">
        <f t="shared" si="9"/>
        <v/>
      </c>
    </row>
    <row r="8" spans="1:21" x14ac:dyDescent="0.3">
      <c r="A8" s="11" t="s">
        <v>59</v>
      </c>
      <c r="B8" s="11" t="s">
        <v>60</v>
      </c>
      <c r="C8" s="11">
        <v>66</v>
      </c>
      <c r="D8" s="11">
        <v>82</v>
      </c>
      <c r="E8" s="11">
        <v>61</v>
      </c>
      <c r="F8" s="12">
        <f t="shared" si="0"/>
        <v>69.7</v>
      </c>
      <c r="G8" s="13">
        <v>84.3</v>
      </c>
      <c r="H8" s="11" t="str">
        <f t="shared" si="1"/>
        <v>PASS</v>
      </c>
      <c r="I8" s="11" t="str">
        <f t="shared" si="2"/>
        <v>PASS</v>
      </c>
      <c r="J8" s="11" t="str">
        <f t="shared" si="3"/>
        <v>GREEN - Satisfactory</v>
      </c>
      <c r="L8" s="14">
        <f t="shared" si="4"/>
        <v>84.3</v>
      </c>
      <c r="M8" s="15">
        <f t="shared" si="5"/>
        <v>69.7</v>
      </c>
      <c r="N8" t="str">
        <f t="shared" si="6"/>
        <v/>
      </c>
      <c r="O8" t="str">
        <f t="shared" si="7"/>
        <v/>
      </c>
      <c r="P8" t="str">
        <f t="shared" si="8"/>
        <v/>
      </c>
      <c r="Q8" t="str">
        <f t="shared" si="9"/>
        <v/>
      </c>
    </row>
    <row r="9" spans="1:21" x14ac:dyDescent="0.3">
      <c r="A9" s="11" t="s">
        <v>61</v>
      </c>
      <c r="B9" s="11" t="s">
        <v>62</v>
      </c>
      <c r="C9" s="11">
        <v>83</v>
      </c>
      <c r="D9" s="11">
        <v>60</v>
      </c>
      <c r="E9" s="11">
        <v>76</v>
      </c>
      <c r="F9" s="12">
        <f t="shared" si="0"/>
        <v>73</v>
      </c>
      <c r="G9" s="13">
        <v>59.2</v>
      </c>
      <c r="H9" s="11" t="str">
        <f t="shared" si="1"/>
        <v>PASS</v>
      </c>
      <c r="I9" s="11" t="str">
        <f t="shared" si="2"/>
        <v>FAIL</v>
      </c>
      <c r="J9" s="11" t="str">
        <f t="shared" si="3"/>
        <v>YELLOW - Single Risk</v>
      </c>
      <c r="L9" t="str">
        <f t="shared" si="4"/>
        <v/>
      </c>
      <c r="M9" t="str">
        <f t="shared" si="5"/>
        <v/>
      </c>
      <c r="N9" s="14">
        <f t="shared" si="6"/>
        <v>59.2</v>
      </c>
      <c r="O9" s="15">
        <f t="shared" si="7"/>
        <v>73</v>
      </c>
      <c r="P9" t="str">
        <f t="shared" si="8"/>
        <v/>
      </c>
      <c r="Q9" t="str">
        <f t="shared" si="9"/>
        <v/>
      </c>
    </row>
    <row r="10" spans="1:21" x14ac:dyDescent="0.3">
      <c r="A10" s="11" t="s">
        <v>63</v>
      </c>
      <c r="B10" s="11" t="s">
        <v>64</v>
      </c>
      <c r="C10" s="11">
        <v>69</v>
      </c>
      <c r="D10" s="11">
        <v>62</v>
      </c>
      <c r="E10" s="11">
        <v>87</v>
      </c>
      <c r="F10" s="12">
        <f t="shared" si="0"/>
        <v>72.7</v>
      </c>
      <c r="G10" s="13">
        <v>46.1</v>
      </c>
      <c r="H10" s="11" t="str">
        <f t="shared" si="1"/>
        <v>PASS</v>
      </c>
      <c r="I10" s="11" t="str">
        <f t="shared" si="2"/>
        <v>FAIL</v>
      </c>
      <c r="J10" s="11" t="str">
        <f t="shared" si="3"/>
        <v>YELLOW - Single Risk</v>
      </c>
      <c r="L10" t="str">
        <f t="shared" si="4"/>
        <v/>
      </c>
      <c r="M10" t="str">
        <f t="shared" si="5"/>
        <v/>
      </c>
      <c r="N10" s="14">
        <f t="shared" si="6"/>
        <v>46.1</v>
      </c>
      <c r="O10" s="15">
        <f t="shared" si="7"/>
        <v>72.7</v>
      </c>
      <c r="P10" t="str">
        <f t="shared" si="8"/>
        <v/>
      </c>
      <c r="Q10" t="str">
        <f t="shared" si="9"/>
        <v/>
      </c>
    </row>
    <row r="11" spans="1:21" x14ac:dyDescent="0.3">
      <c r="A11" s="11" t="s">
        <v>65</v>
      </c>
      <c r="B11" s="11" t="s">
        <v>66</v>
      </c>
      <c r="C11" s="11">
        <v>30</v>
      </c>
      <c r="D11" s="11">
        <v>52</v>
      </c>
      <c r="E11" s="11">
        <v>32</v>
      </c>
      <c r="F11" s="12">
        <f t="shared" si="0"/>
        <v>38</v>
      </c>
      <c r="G11" s="13">
        <v>54.9</v>
      </c>
      <c r="H11" s="11" t="str">
        <f t="shared" si="1"/>
        <v>FAIL</v>
      </c>
      <c r="I11" s="11" t="str">
        <f t="shared" si="2"/>
        <v>FAIL</v>
      </c>
      <c r="J11" s="11" t="str">
        <f t="shared" si="3"/>
        <v>RED - Dual Risk</v>
      </c>
      <c r="L11" t="str">
        <f t="shared" si="4"/>
        <v/>
      </c>
      <c r="M11" t="str">
        <f t="shared" si="5"/>
        <v/>
      </c>
      <c r="N11" t="str">
        <f t="shared" si="6"/>
        <v/>
      </c>
      <c r="O11" t="str">
        <f t="shared" si="7"/>
        <v/>
      </c>
      <c r="P11" s="14">
        <f t="shared" si="8"/>
        <v>54.9</v>
      </c>
      <c r="Q11" s="15">
        <f t="shared" si="9"/>
        <v>38</v>
      </c>
    </row>
    <row r="12" spans="1:21" x14ac:dyDescent="0.3">
      <c r="A12" s="11" t="s">
        <v>67</v>
      </c>
      <c r="B12" s="11" t="s">
        <v>68</v>
      </c>
      <c r="C12" s="11">
        <v>51</v>
      </c>
      <c r="D12" s="11">
        <v>54</v>
      </c>
      <c r="E12" s="11">
        <v>39</v>
      </c>
      <c r="F12" s="12">
        <f t="shared" si="0"/>
        <v>48</v>
      </c>
      <c r="G12" s="13">
        <v>70.7</v>
      </c>
      <c r="H12" s="11" t="str">
        <f t="shared" si="1"/>
        <v>FAIL</v>
      </c>
      <c r="I12" s="11" t="str">
        <f t="shared" si="2"/>
        <v>FAIL</v>
      </c>
      <c r="J12" s="11" t="str">
        <f t="shared" si="3"/>
        <v>RED - Dual Risk</v>
      </c>
      <c r="L12" t="str">
        <f t="shared" si="4"/>
        <v/>
      </c>
      <c r="M12" t="str">
        <f t="shared" si="5"/>
        <v/>
      </c>
      <c r="N12" t="str">
        <f t="shared" si="6"/>
        <v/>
      </c>
      <c r="O12" t="str">
        <f t="shared" si="7"/>
        <v/>
      </c>
      <c r="P12" s="14">
        <f t="shared" si="8"/>
        <v>70.7</v>
      </c>
      <c r="Q12" s="15">
        <f t="shared" si="9"/>
        <v>48</v>
      </c>
    </row>
    <row r="13" spans="1:21" x14ac:dyDescent="0.3">
      <c r="A13" s="11" t="s">
        <v>69</v>
      </c>
      <c r="B13" s="11" t="s">
        <v>70</v>
      </c>
      <c r="C13" s="11">
        <v>53</v>
      </c>
      <c r="D13" s="11">
        <v>50</v>
      </c>
      <c r="E13" s="11">
        <v>40</v>
      </c>
      <c r="F13" s="12">
        <f t="shared" si="0"/>
        <v>47.7</v>
      </c>
      <c r="G13" s="13">
        <v>87.5</v>
      </c>
      <c r="H13" s="11" t="str">
        <f t="shared" si="1"/>
        <v>FAIL</v>
      </c>
      <c r="I13" s="11" t="str">
        <f t="shared" si="2"/>
        <v>PASS</v>
      </c>
      <c r="J13" s="11" t="str">
        <f t="shared" si="3"/>
        <v>YELLOW - Single Risk</v>
      </c>
      <c r="L13" t="str">
        <f t="shared" si="4"/>
        <v/>
      </c>
      <c r="M13" t="str">
        <f t="shared" si="5"/>
        <v/>
      </c>
      <c r="N13" s="14">
        <f t="shared" si="6"/>
        <v>87.5</v>
      </c>
      <c r="O13" s="15">
        <f t="shared" si="7"/>
        <v>47.7</v>
      </c>
      <c r="P13" t="str">
        <f t="shared" si="8"/>
        <v/>
      </c>
      <c r="Q13" t="str">
        <f t="shared" si="9"/>
        <v/>
      </c>
    </row>
    <row r="14" spans="1:21" x14ac:dyDescent="0.3">
      <c r="A14" s="11" t="s">
        <v>71</v>
      </c>
      <c r="B14" s="11" t="s">
        <v>72</v>
      </c>
      <c r="C14" s="11">
        <v>92</v>
      </c>
      <c r="D14" s="11">
        <v>79</v>
      </c>
      <c r="E14" s="11">
        <v>71</v>
      </c>
      <c r="F14" s="12">
        <f t="shared" si="0"/>
        <v>80.7</v>
      </c>
      <c r="G14" s="13">
        <v>92.3</v>
      </c>
      <c r="H14" s="11" t="str">
        <f t="shared" si="1"/>
        <v>PASS</v>
      </c>
      <c r="I14" s="11" t="str">
        <f t="shared" si="2"/>
        <v>PASS</v>
      </c>
      <c r="J14" s="11" t="str">
        <f t="shared" si="3"/>
        <v>GREEN - Satisfactory</v>
      </c>
      <c r="L14" s="14">
        <f t="shared" si="4"/>
        <v>92.3</v>
      </c>
      <c r="M14" s="15">
        <f t="shared" si="5"/>
        <v>80.7</v>
      </c>
      <c r="N14" t="str">
        <f t="shared" si="6"/>
        <v/>
      </c>
      <c r="O14" t="str">
        <f t="shared" si="7"/>
        <v/>
      </c>
      <c r="P14" t="str">
        <f t="shared" si="8"/>
        <v/>
      </c>
      <c r="Q14" t="str">
        <f t="shared" si="9"/>
        <v/>
      </c>
    </row>
    <row r="15" spans="1:21" x14ac:dyDescent="0.3">
      <c r="A15" s="11" t="s">
        <v>73</v>
      </c>
      <c r="B15" s="11" t="s">
        <v>74</v>
      </c>
      <c r="C15" s="11">
        <v>60</v>
      </c>
      <c r="D15" s="11">
        <v>65</v>
      </c>
      <c r="E15" s="11">
        <v>64</v>
      </c>
      <c r="F15" s="12">
        <f t="shared" si="0"/>
        <v>63</v>
      </c>
      <c r="G15" s="13">
        <v>75.8</v>
      </c>
      <c r="H15" s="11" t="str">
        <f t="shared" si="1"/>
        <v>PASS</v>
      </c>
      <c r="I15" s="11" t="str">
        <f t="shared" si="2"/>
        <v>PASS</v>
      </c>
      <c r="J15" s="11" t="str">
        <f t="shared" si="3"/>
        <v>GREEN - Satisfactory</v>
      </c>
      <c r="L15" s="14">
        <f t="shared" si="4"/>
        <v>75.8</v>
      </c>
      <c r="M15" s="15">
        <f t="shared" si="5"/>
        <v>63</v>
      </c>
      <c r="N15" t="str">
        <f t="shared" si="6"/>
        <v/>
      </c>
      <c r="O15" t="str">
        <f t="shared" si="7"/>
        <v/>
      </c>
      <c r="P15" t="str">
        <f t="shared" si="8"/>
        <v/>
      </c>
      <c r="Q15" t="str">
        <f t="shared" si="9"/>
        <v/>
      </c>
    </row>
    <row r="16" spans="1:21" x14ac:dyDescent="0.3">
      <c r="A16" s="11" t="s">
        <v>75</v>
      </c>
      <c r="B16" s="11" t="s">
        <v>76</v>
      </c>
      <c r="C16" s="11">
        <v>46</v>
      </c>
      <c r="D16" s="11">
        <v>52</v>
      </c>
      <c r="E16" s="11">
        <v>57</v>
      </c>
      <c r="F16" s="12">
        <f t="shared" si="0"/>
        <v>51.7</v>
      </c>
      <c r="G16" s="13">
        <v>96.9</v>
      </c>
      <c r="H16" s="11" t="str">
        <f t="shared" si="1"/>
        <v>FAIL</v>
      </c>
      <c r="I16" s="11" t="str">
        <f t="shared" si="2"/>
        <v>PASS</v>
      </c>
      <c r="J16" s="11" t="str">
        <f t="shared" si="3"/>
        <v>YELLOW - Single Risk</v>
      </c>
      <c r="L16" t="str">
        <f t="shared" si="4"/>
        <v/>
      </c>
      <c r="M16" t="str">
        <f t="shared" si="5"/>
        <v/>
      </c>
      <c r="N16" s="14">
        <f t="shared" si="6"/>
        <v>96.9</v>
      </c>
      <c r="O16" s="15">
        <f t="shared" si="7"/>
        <v>51.7</v>
      </c>
      <c r="P16" t="str">
        <f t="shared" si="8"/>
        <v/>
      </c>
      <c r="Q16" t="str">
        <f t="shared" si="9"/>
        <v/>
      </c>
    </row>
    <row r="17" spans="1:17" x14ac:dyDescent="0.3">
      <c r="A17" s="11" t="s">
        <v>77</v>
      </c>
      <c r="B17" s="11" t="s">
        <v>78</v>
      </c>
      <c r="C17" s="11">
        <v>67</v>
      </c>
      <c r="D17" s="11">
        <v>99</v>
      </c>
      <c r="E17" s="11">
        <v>98</v>
      </c>
      <c r="F17" s="12">
        <f t="shared" si="0"/>
        <v>88</v>
      </c>
      <c r="G17" s="13">
        <v>95.2</v>
      </c>
      <c r="H17" s="11" t="str">
        <f t="shared" si="1"/>
        <v>PASS</v>
      </c>
      <c r="I17" s="11" t="str">
        <f t="shared" si="2"/>
        <v>PASS</v>
      </c>
      <c r="J17" s="11" t="str">
        <f t="shared" si="3"/>
        <v>GREEN - Satisfactory</v>
      </c>
      <c r="L17" s="14">
        <f t="shared" si="4"/>
        <v>95.2</v>
      </c>
      <c r="M17" s="15">
        <f t="shared" si="5"/>
        <v>88</v>
      </c>
      <c r="N17" t="str">
        <f t="shared" si="6"/>
        <v/>
      </c>
      <c r="O17" t="str">
        <f t="shared" si="7"/>
        <v/>
      </c>
      <c r="P17" t="str">
        <f t="shared" si="8"/>
        <v/>
      </c>
      <c r="Q17" t="str">
        <f t="shared" si="9"/>
        <v/>
      </c>
    </row>
    <row r="18" spans="1:17" x14ac:dyDescent="0.3">
      <c r="A18" s="11" t="s">
        <v>79</v>
      </c>
      <c r="B18" s="11" t="s">
        <v>80</v>
      </c>
      <c r="C18" s="11">
        <v>100</v>
      </c>
      <c r="D18" s="11">
        <v>68</v>
      </c>
      <c r="E18" s="11">
        <v>71</v>
      </c>
      <c r="F18" s="12">
        <f t="shared" si="0"/>
        <v>79.7</v>
      </c>
      <c r="G18" s="13">
        <v>98.1</v>
      </c>
      <c r="H18" s="11" t="str">
        <f t="shared" si="1"/>
        <v>PASS</v>
      </c>
      <c r="I18" s="11" t="str">
        <f t="shared" si="2"/>
        <v>PASS</v>
      </c>
      <c r="J18" s="11" t="str">
        <f t="shared" si="3"/>
        <v>GREEN - Satisfactory</v>
      </c>
      <c r="L18" s="14">
        <f t="shared" si="4"/>
        <v>98.1</v>
      </c>
      <c r="M18" s="15">
        <f t="shared" si="5"/>
        <v>79.7</v>
      </c>
      <c r="N18" t="str">
        <f t="shared" si="6"/>
        <v/>
      </c>
      <c r="O18" t="str">
        <f t="shared" si="7"/>
        <v/>
      </c>
      <c r="P18" t="str">
        <f t="shared" si="8"/>
        <v/>
      </c>
      <c r="Q18" t="str">
        <f t="shared" si="9"/>
        <v/>
      </c>
    </row>
    <row r="19" spans="1:17" x14ac:dyDescent="0.3">
      <c r="A19" s="11" t="s">
        <v>81</v>
      </c>
      <c r="B19" s="11" t="s">
        <v>82</v>
      </c>
      <c r="C19" s="11">
        <v>72</v>
      </c>
      <c r="D19" s="11">
        <v>95</v>
      </c>
      <c r="E19" s="11">
        <v>88</v>
      </c>
      <c r="F19" s="12">
        <f t="shared" si="0"/>
        <v>85</v>
      </c>
      <c r="G19" s="13">
        <v>73.2</v>
      </c>
      <c r="H19" s="11" t="str">
        <f t="shared" si="1"/>
        <v>PASS</v>
      </c>
      <c r="I19" s="11" t="str">
        <f t="shared" si="2"/>
        <v>FAIL</v>
      </c>
      <c r="J19" s="11" t="str">
        <f t="shared" si="3"/>
        <v>YELLOW - Single Risk</v>
      </c>
      <c r="L19" t="str">
        <f t="shared" si="4"/>
        <v/>
      </c>
      <c r="M19" t="str">
        <f t="shared" si="5"/>
        <v/>
      </c>
      <c r="N19" s="14">
        <f t="shared" si="6"/>
        <v>73.2</v>
      </c>
      <c r="O19" s="15">
        <f t="shared" si="7"/>
        <v>85</v>
      </c>
      <c r="P19" t="str">
        <f t="shared" si="8"/>
        <v/>
      </c>
      <c r="Q19" t="str">
        <f t="shared" si="9"/>
        <v/>
      </c>
    </row>
    <row r="20" spans="1:17" x14ac:dyDescent="0.3">
      <c r="A20" s="11" t="s">
        <v>83</v>
      </c>
      <c r="B20" s="11" t="s">
        <v>84</v>
      </c>
      <c r="C20" s="11">
        <v>39</v>
      </c>
      <c r="D20" s="11">
        <v>37</v>
      </c>
      <c r="E20" s="11">
        <v>39</v>
      </c>
      <c r="F20" s="12">
        <f t="shared" si="0"/>
        <v>38.299999999999997</v>
      </c>
      <c r="G20" s="13">
        <v>97.1</v>
      </c>
      <c r="H20" s="11" t="str">
        <f t="shared" si="1"/>
        <v>FAIL</v>
      </c>
      <c r="I20" s="11" t="str">
        <f t="shared" si="2"/>
        <v>PASS</v>
      </c>
      <c r="J20" s="11" t="str">
        <f t="shared" si="3"/>
        <v>YELLOW - Single Risk</v>
      </c>
      <c r="L20" t="str">
        <f t="shared" si="4"/>
        <v/>
      </c>
      <c r="M20" t="str">
        <f t="shared" si="5"/>
        <v/>
      </c>
      <c r="N20" s="14">
        <f t="shared" si="6"/>
        <v>97.1</v>
      </c>
      <c r="O20" s="15">
        <f t="shared" si="7"/>
        <v>38.299999999999997</v>
      </c>
      <c r="P20" t="str">
        <f t="shared" si="8"/>
        <v/>
      </c>
      <c r="Q20" t="str">
        <f t="shared" si="9"/>
        <v/>
      </c>
    </row>
    <row r="21" spans="1:17" x14ac:dyDescent="0.3">
      <c r="A21" s="11" t="s">
        <v>85</v>
      </c>
      <c r="B21" s="11" t="s">
        <v>86</v>
      </c>
      <c r="C21" s="11">
        <v>81</v>
      </c>
      <c r="D21" s="11">
        <v>84</v>
      </c>
      <c r="E21" s="11">
        <v>64</v>
      </c>
      <c r="F21" s="12">
        <f t="shared" si="0"/>
        <v>76.3</v>
      </c>
      <c r="G21" s="13">
        <v>76.5</v>
      </c>
      <c r="H21" s="11" t="str">
        <f t="shared" si="1"/>
        <v>PASS</v>
      </c>
      <c r="I21" s="11" t="str">
        <f t="shared" si="2"/>
        <v>PASS</v>
      </c>
      <c r="J21" s="11" t="str">
        <f t="shared" si="3"/>
        <v>GREEN - Satisfactory</v>
      </c>
      <c r="L21" s="14">
        <f t="shared" si="4"/>
        <v>76.5</v>
      </c>
      <c r="M21" s="15">
        <f t="shared" si="5"/>
        <v>76.3</v>
      </c>
      <c r="N21" t="str">
        <f t="shared" si="6"/>
        <v/>
      </c>
      <c r="O21" t="str">
        <f t="shared" si="7"/>
        <v/>
      </c>
      <c r="P21" t="str">
        <f t="shared" si="8"/>
        <v/>
      </c>
      <c r="Q21" t="str">
        <f t="shared" si="9"/>
        <v/>
      </c>
    </row>
    <row r="22" spans="1:17" x14ac:dyDescent="0.3">
      <c r="A22" s="11" t="s">
        <v>87</v>
      </c>
      <c r="B22" s="11" t="s">
        <v>88</v>
      </c>
      <c r="C22" s="11">
        <v>95</v>
      </c>
      <c r="D22" s="11">
        <v>82</v>
      </c>
      <c r="E22" s="11">
        <v>89</v>
      </c>
      <c r="F22" s="12">
        <f t="shared" si="0"/>
        <v>88.7</v>
      </c>
      <c r="G22" s="13">
        <v>76.400000000000006</v>
      </c>
      <c r="H22" s="11" t="str">
        <f t="shared" si="1"/>
        <v>PASS</v>
      </c>
      <c r="I22" s="11" t="str">
        <f t="shared" si="2"/>
        <v>PASS</v>
      </c>
      <c r="J22" s="11" t="str">
        <f t="shared" si="3"/>
        <v>GREEN - Satisfactory</v>
      </c>
      <c r="L22" s="14">
        <f t="shared" si="4"/>
        <v>76.400000000000006</v>
      </c>
      <c r="M22" s="15">
        <f t="shared" si="5"/>
        <v>88.7</v>
      </c>
      <c r="N22" t="str">
        <f t="shared" si="6"/>
        <v/>
      </c>
      <c r="O22" t="str">
        <f t="shared" si="7"/>
        <v/>
      </c>
      <c r="P22" t="str">
        <f t="shared" si="8"/>
        <v/>
      </c>
      <c r="Q22" t="str">
        <f t="shared" si="9"/>
        <v/>
      </c>
    </row>
    <row r="23" spans="1:17" x14ac:dyDescent="0.3">
      <c r="A23" s="11" t="s">
        <v>89</v>
      </c>
      <c r="B23" s="11" t="s">
        <v>90</v>
      </c>
      <c r="C23" s="11">
        <v>77</v>
      </c>
      <c r="D23" s="11">
        <v>80</v>
      </c>
      <c r="E23" s="11">
        <v>65</v>
      </c>
      <c r="F23" s="12">
        <f t="shared" si="0"/>
        <v>74</v>
      </c>
      <c r="G23" s="13">
        <v>82</v>
      </c>
      <c r="H23" s="11" t="str">
        <f t="shared" si="1"/>
        <v>PASS</v>
      </c>
      <c r="I23" s="11" t="str">
        <f t="shared" si="2"/>
        <v>PASS</v>
      </c>
      <c r="J23" s="11" t="str">
        <f t="shared" si="3"/>
        <v>GREEN - Satisfactory</v>
      </c>
      <c r="L23" s="14">
        <f t="shared" si="4"/>
        <v>82</v>
      </c>
      <c r="M23" s="15">
        <f t="shared" si="5"/>
        <v>74</v>
      </c>
      <c r="N23" t="str">
        <f t="shared" si="6"/>
        <v/>
      </c>
      <c r="O23" t="str">
        <f t="shared" si="7"/>
        <v/>
      </c>
      <c r="P23" t="str">
        <f t="shared" si="8"/>
        <v/>
      </c>
      <c r="Q23" t="str">
        <f t="shared" si="9"/>
        <v/>
      </c>
    </row>
    <row r="24" spans="1:17" x14ac:dyDescent="0.3">
      <c r="A24" s="11" t="s">
        <v>91</v>
      </c>
      <c r="B24" s="11" t="s">
        <v>92</v>
      </c>
      <c r="C24" s="11">
        <v>69</v>
      </c>
      <c r="D24" s="11">
        <v>76</v>
      </c>
      <c r="E24" s="11">
        <v>89</v>
      </c>
      <c r="F24" s="12">
        <f t="shared" si="0"/>
        <v>78</v>
      </c>
      <c r="G24" s="13">
        <v>80.099999999999994</v>
      </c>
      <c r="H24" s="11" t="str">
        <f t="shared" si="1"/>
        <v>PASS</v>
      </c>
      <c r="I24" s="11" t="str">
        <f t="shared" si="2"/>
        <v>PASS</v>
      </c>
      <c r="J24" s="11" t="str">
        <f t="shared" si="3"/>
        <v>GREEN - Satisfactory</v>
      </c>
      <c r="L24" s="14">
        <f t="shared" si="4"/>
        <v>80.099999999999994</v>
      </c>
      <c r="M24" s="15">
        <f t="shared" si="5"/>
        <v>78</v>
      </c>
      <c r="N24" t="str">
        <f t="shared" si="6"/>
        <v/>
      </c>
      <c r="O24" t="str">
        <f t="shared" si="7"/>
        <v/>
      </c>
      <c r="P24" t="str">
        <f t="shared" si="8"/>
        <v/>
      </c>
      <c r="Q24" t="str">
        <f t="shared" si="9"/>
        <v/>
      </c>
    </row>
    <row r="25" spans="1:17" x14ac:dyDescent="0.3">
      <c r="A25" s="11" t="s">
        <v>93</v>
      </c>
      <c r="B25" s="11" t="s">
        <v>94</v>
      </c>
      <c r="C25" s="11">
        <v>31</v>
      </c>
      <c r="D25" s="11">
        <v>44</v>
      </c>
      <c r="E25" s="11">
        <v>53</v>
      </c>
      <c r="F25" s="12">
        <f t="shared" si="0"/>
        <v>42.7</v>
      </c>
      <c r="G25" s="13">
        <v>70.8</v>
      </c>
      <c r="H25" s="11" t="str">
        <f t="shared" si="1"/>
        <v>FAIL</v>
      </c>
      <c r="I25" s="11" t="str">
        <f t="shared" si="2"/>
        <v>FAIL</v>
      </c>
      <c r="J25" s="11" t="str">
        <f t="shared" si="3"/>
        <v>RED - Dual Risk</v>
      </c>
      <c r="L25" t="str">
        <f t="shared" si="4"/>
        <v/>
      </c>
      <c r="M25" t="str">
        <f t="shared" si="5"/>
        <v/>
      </c>
      <c r="N25" t="str">
        <f t="shared" si="6"/>
        <v/>
      </c>
      <c r="O25" t="str">
        <f t="shared" si="7"/>
        <v/>
      </c>
      <c r="P25" s="14">
        <f t="shared" si="8"/>
        <v>70.8</v>
      </c>
      <c r="Q25" s="15">
        <f t="shared" si="9"/>
        <v>42.7</v>
      </c>
    </row>
    <row r="26" spans="1:17" x14ac:dyDescent="0.3">
      <c r="A26" s="11" t="s">
        <v>95</v>
      </c>
      <c r="B26" s="11" t="s">
        <v>96</v>
      </c>
      <c r="C26" s="11">
        <v>80</v>
      </c>
      <c r="D26" s="11">
        <v>75</v>
      </c>
      <c r="E26" s="11">
        <v>66</v>
      </c>
      <c r="F26" s="12">
        <f t="shared" si="0"/>
        <v>73.7</v>
      </c>
      <c r="G26" s="13">
        <v>49.5</v>
      </c>
      <c r="H26" s="11" t="str">
        <f t="shared" si="1"/>
        <v>PASS</v>
      </c>
      <c r="I26" s="11" t="str">
        <f t="shared" si="2"/>
        <v>FAIL</v>
      </c>
      <c r="J26" s="11" t="str">
        <f t="shared" si="3"/>
        <v>YELLOW - Single Risk</v>
      </c>
      <c r="L26" t="str">
        <f t="shared" si="4"/>
        <v/>
      </c>
      <c r="M26" t="str">
        <f t="shared" si="5"/>
        <v/>
      </c>
      <c r="N26" s="14">
        <f t="shared" si="6"/>
        <v>49.5</v>
      </c>
      <c r="O26" s="15">
        <f t="shared" si="7"/>
        <v>73.7</v>
      </c>
      <c r="P26" t="str">
        <f t="shared" si="8"/>
        <v/>
      </c>
      <c r="Q26" t="str">
        <f t="shared" si="9"/>
        <v/>
      </c>
    </row>
    <row r="27" spans="1:17" x14ac:dyDescent="0.3">
      <c r="A27" s="11" t="s">
        <v>97</v>
      </c>
      <c r="B27" s="11" t="s">
        <v>98</v>
      </c>
      <c r="C27" s="11">
        <v>71</v>
      </c>
      <c r="D27" s="11">
        <v>60</v>
      </c>
      <c r="E27" s="11">
        <v>60</v>
      </c>
      <c r="F27" s="12">
        <f t="shared" si="0"/>
        <v>63.7</v>
      </c>
      <c r="G27" s="13">
        <v>61.5</v>
      </c>
      <c r="H27" s="11" t="str">
        <f t="shared" si="1"/>
        <v>PASS</v>
      </c>
      <c r="I27" s="11" t="str">
        <f t="shared" si="2"/>
        <v>FAIL</v>
      </c>
      <c r="J27" s="11" t="str">
        <f t="shared" si="3"/>
        <v>YELLOW - Single Risk</v>
      </c>
      <c r="L27" t="str">
        <f t="shared" si="4"/>
        <v/>
      </c>
      <c r="M27" t="str">
        <f t="shared" si="5"/>
        <v/>
      </c>
      <c r="N27" s="14">
        <f t="shared" si="6"/>
        <v>61.5</v>
      </c>
      <c r="O27" s="15">
        <f t="shared" si="7"/>
        <v>63.7</v>
      </c>
      <c r="P27" t="str">
        <f t="shared" si="8"/>
        <v/>
      </c>
      <c r="Q27" t="str">
        <f t="shared" si="9"/>
        <v/>
      </c>
    </row>
    <row r="28" spans="1:17" x14ac:dyDescent="0.3">
      <c r="A28" s="11" t="s">
        <v>99</v>
      </c>
      <c r="B28" s="11" t="s">
        <v>100</v>
      </c>
      <c r="C28" s="11">
        <v>99</v>
      </c>
      <c r="D28" s="11">
        <v>89</v>
      </c>
      <c r="E28" s="11">
        <v>96</v>
      </c>
      <c r="F28" s="12">
        <f t="shared" si="0"/>
        <v>94.7</v>
      </c>
      <c r="G28" s="13">
        <v>76.099999999999994</v>
      </c>
      <c r="H28" s="11" t="str">
        <f t="shared" si="1"/>
        <v>PASS</v>
      </c>
      <c r="I28" s="11" t="str">
        <f t="shared" si="2"/>
        <v>PASS</v>
      </c>
      <c r="J28" s="11" t="str">
        <f t="shared" si="3"/>
        <v>GREEN - Satisfactory</v>
      </c>
      <c r="L28" s="14">
        <f t="shared" si="4"/>
        <v>76.099999999999994</v>
      </c>
      <c r="M28" s="15">
        <f t="shared" si="5"/>
        <v>94.7</v>
      </c>
      <c r="N28" t="str">
        <f t="shared" si="6"/>
        <v/>
      </c>
      <c r="O28" t="str">
        <f t="shared" si="7"/>
        <v/>
      </c>
      <c r="P28" t="str">
        <f t="shared" si="8"/>
        <v/>
      </c>
      <c r="Q28" t="str">
        <f t="shared" si="9"/>
        <v/>
      </c>
    </row>
    <row r="29" spans="1:17" x14ac:dyDescent="0.3">
      <c r="A29" s="11" t="s">
        <v>101</v>
      </c>
      <c r="B29" s="11" t="s">
        <v>102</v>
      </c>
      <c r="C29" s="11">
        <v>45</v>
      </c>
      <c r="D29" s="11">
        <v>42</v>
      </c>
      <c r="E29" s="11">
        <v>43</v>
      </c>
      <c r="F29" s="12">
        <f t="shared" si="0"/>
        <v>43.3</v>
      </c>
      <c r="G29" s="13">
        <v>86.8</v>
      </c>
      <c r="H29" s="11" t="str">
        <f t="shared" si="1"/>
        <v>FAIL</v>
      </c>
      <c r="I29" s="11" t="str">
        <f t="shared" si="2"/>
        <v>PASS</v>
      </c>
      <c r="J29" s="11" t="str">
        <f t="shared" si="3"/>
        <v>YELLOW - Single Risk</v>
      </c>
      <c r="L29" t="str">
        <f t="shared" si="4"/>
        <v/>
      </c>
      <c r="M29" t="str">
        <f t="shared" si="5"/>
        <v/>
      </c>
      <c r="N29" s="14">
        <f t="shared" si="6"/>
        <v>86.8</v>
      </c>
      <c r="O29" s="15">
        <f t="shared" si="7"/>
        <v>43.3</v>
      </c>
      <c r="P29" t="str">
        <f t="shared" si="8"/>
        <v/>
      </c>
      <c r="Q29" t="str">
        <f t="shared" si="9"/>
        <v/>
      </c>
    </row>
    <row r="30" spans="1:17" x14ac:dyDescent="0.3">
      <c r="A30" s="11" t="s">
        <v>103</v>
      </c>
      <c r="B30" s="11" t="s">
        <v>104</v>
      </c>
      <c r="C30" s="11">
        <v>72</v>
      </c>
      <c r="D30" s="11">
        <v>95</v>
      </c>
      <c r="E30" s="11">
        <v>97</v>
      </c>
      <c r="F30" s="12">
        <f t="shared" si="0"/>
        <v>88</v>
      </c>
      <c r="G30" s="13">
        <v>88.4</v>
      </c>
      <c r="H30" s="11" t="str">
        <f t="shared" si="1"/>
        <v>PASS</v>
      </c>
      <c r="I30" s="11" t="str">
        <f t="shared" si="2"/>
        <v>PASS</v>
      </c>
      <c r="J30" s="11" t="str">
        <f t="shared" si="3"/>
        <v>GREEN - Satisfactory</v>
      </c>
      <c r="L30" s="14">
        <f t="shared" si="4"/>
        <v>88.4</v>
      </c>
      <c r="M30" s="15">
        <f t="shared" si="5"/>
        <v>88</v>
      </c>
      <c r="N30" t="str">
        <f t="shared" si="6"/>
        <v/>
      </c>
      <c r="O30" t="str">
        <f t="shared" si="7"/>
        <v/>
      </c>
      <c r="P30" t="str">
        <f t="shared" si="8"/>
        <v/>
      </c>
      <c r="Q30" t="str">
        <f t="shared" si="9"/>
        <v/>
      </c>
    </row>
    <row r="31" spans="1:17" x14ac:dyDescent="0.3">
      <c r="A31" s="11" t="s">
        <v>105</v>
      </c>
      <c r="B31" s="11" t="s">
        <v>106</v>
      </c>
      <c r="C31" s="11">
        <v>81</v>
      </c>
      <c r="D31" s="11">
        <v>61</v>
      </c>
      <c r="E31" s="11">
        <v>68</v>
      </c>
      <c r="F31" s="12">
        <f t="shared" si="0"/>
        <v>70</v>
      </c>
      <c r="G31" s="13">
        <v>82.2</v>
      </c>
      <c r="H31" s="11" t="str">
        <f t="shared" si="1"/>
        <v>PASS</v>
      </c>
      <c r="I31" s="11" t="str">
        <f t="shared" si="2"/>
        <v>PASS</v>
      </c>
      <c r="J31" s="11" t="str">
        <f t="shared" si="3"/>
        <v>GREEN - Satisfactory</v>
      </c>
      <c r="L31" s="14">
        <f t="shared" si="4"/>
        <v>82.2</v>
      </c>
      <c r="M31" s="15">
        <f t="shared" si="5"/>
        <v>70</v>
      </c>
      <c r="N31" t="str">
        <f t="shared" si="6"/>
        <v/>
      </c>
      <c r="O31" t="str">
        <f t="shared" si="7"/>
        <v/>
      </c>
      <c r="P31" t="str">
        <f t="shared" si="8"/>
        <v/>
      </c>
      <c r="Q31" t="str">
        <f t="shared" si="9"/>
        <v/>
      </c>
    </row>
  </sheetData>
  <conditionalFormatting sqref="J2:J31">
    <cfRule type="expression" dxfId="2" priority="2">
      <formula>LEFT(J2,3)="RED"</formula>
    </cfRule>
    <cfRule type="expression" dxfId="1" priority="3">
      <formula>LEFT(J2,6)="YELLOW"</formula>
    </cfRule>
    <cfRule type="expression" dxfId="0" priority="4">
      <formula>LEFT(J2,5)="GREEN"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zoomScaleNormal="100" workbookViewId="0">
      <selection activeCell="E17" sqref="E17"/>
    </sheetView>
  </sheetViews>
  <sheetFormatPr defaultColWidth="8.6640625" defaultRowHeight="14.4" x14ac:dyDescent="0.3"/>
  <cols>
    <col min="1" max="1" width="115.33203125" bestFit="1" customWidth="1"/>
  </cols>
  <sheetData>
    <row r="1" spans="1:1" ht="17.25" customHeight="1" x14ac:dyDescent="0.3">
      <c r="A1" s="16" t="s">
        <v>109</v>
      </c>
    </row>
    <row r="2" spans="1:1" x14ac:dyDescent="0.3">
      <c r="A2" s="17"/>
    </row>
    <row r="3" spans="1:1" x14ac:dyDescent="0.3">
      <c r="A3" s="17"/>
    </row>
    <row r="4" spans="1:1" x14ac:dyDescent="0.3">
      <c r="A4" s="17" t="s">
        <v>110</v>
      </c>
    </row>
    <row r="5" spans="1:1" x14ac:dyDescent="0.3">
      <c r="A5" s="17" t="s">
        <v>107</v>
      </c>
    </row>
    <row r="6" spans="1:1" x14ac:dyDescent="0.3">
      <c r="A6" s="17"/>
    </row>
    <row r="7" spans="1:1" x14ac:dyDescent="0.3">
      <c r="A7" s="17" t="s">
        <v>108</v>
      </c>
    </row>
    <row r="8" spans="1:1" x14ac:dyDescent="0.3">
      <c r="A8" s="17"/>
    </row>
    <row r="10" spans="1:1" x14ac:dyDescent="0.3">
      <c r="A10" s="17" t="s">
        <v>111</v>
      </c>
    </row>
    <row r="11" spans="1:1" x14ac:dyDescent="0.3">
      <c r="A11" s="17" t="s">
        <v>112</v>
      </c>
    </row>
    <row r="12" spans="1:1" x14ac:dyDescent="0.3">
      <c r="A12" s="17"/>
    </row>
    <row r="13" spans="1:1" x14ac:dyDescent="0.3">
      <c r="A13" s="17" t="s">
        <v>113</v>
      </c>
    </row>
    <row r="14" spans="1:1" x14ac:dyDescent="0.3">
      <c r="A14" s="17" t="s">
        <v>114</v>
      </c>
    </row>
    <row r="15" spans="1:1" x14ac:dyDescent="0.3">
      <c r="A15" s="17" t="s">
        <v>115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Student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Eslam Aboelnaga‎</cp:lastModifiedBy>
  <cp:revision>2</cp:revision>
  <dcterms:created xsi:type="dcterms:W3CDTF">2026-07-16T22:18:25Z</dcterms:created>
  <dcterms:modified xsi:type="dcterms:W3CDTF">2026-07-17T21:12:16Z</dcterms:modified>
  <dc:language>en-US</dc:language>
</cp:coreProperties>
</file>